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621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grulovic/Desktop/"/>
    </mc:Choice>
  </mc:AlternateContent>
  <bookViews>
    <workbookView xWindow="0" yWindow="460" windowWidth="28800" windowHeight="17460" firstSheet="1" activeTab="4"/>
  </bookViews>
  <sheets>
    <sheet name="__hidden" sheetId="38" state="veryHidden" r:id="rId1"/>
    <sheet name="RESERVATIONS" sheetId="37" r:id="rId2"/>
    <sheet name="PACKET" sheetId="44" r:id="rId3"/>
    <sheet name="GUIDE" sheetId="40" r:id="rId4"/>
    <sheet name="CUSTOMER" sheetId="34" r:id="rId5"/>
    <sheet name="MEMBERSHIP" sheetId="39" r:id="rId6"/>
    <sheet name="EXCURSION" sheetId="41" r:id="rId7"/>
    <sheet name="TRANSPORT" sheetId="45" r:id="rId8"/>
    <sheet name="LOCATION" sheetId="42" r:id="rId9"/>
    <sheet name="ARRANGEMENT" sheetId="43" r:id="rId10"/>
  </sheets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34" l="1"/>
  <c r="F2" i="34"/>
  <c r="E2" i="34"/>
  <c r="D2" i="34"/>
  <c r="C2" i="34"/>
  <c r="B2" i="34"/>
  <c r="G8" i="34"/>
  <c r="F8" i="34"/>
  <c r="E8" i="34"/>
  <c r="D8" i="34"/>
  <c r="C8" i="34"/>
  <c r="B8" i="34"/>
  <c r="J33" i="34"/>
  <c r="G3" i="34"/>
  <c r="F3" i="34"/>
  <c r="E3" i="34"/>
  <c r="D3" i="34"/>
  <c r="C3" i="34"/>
  <c r="B3" i="34"/>
  <c r="G14" i="34"/>
  <c r="F14" i="34"/>
  <c r="E14" i="34"/>
  <c r="D14" i="34"/>
  <c r="C14" i="34"/>
  <c r="B14" i="34"/>
  <c r="J34" i="34"/>
  <c r="G24" i="34"/>
  <c r="F24" i="34"/>
  <c r="E24" i="34"/>
  <c r="D24" i="34"/>
  <c r="C24" i="34"/>
  <c r="B24" i="34"/>
  <c r="G4" i="34"/>
  <c r="F4" i="34"/>
  <c r="E4" i="34"/>
  <c r="D4" i="34"/>
  <c r="C4" i="34"/>
  <c r="B4" i="34"/>
  <c r="G20" i="34"/>
  <c r="F20" i="34"/>
  <c r="E20" i="34"/>
  <c r="D20" i="34"/>
  <c r="C20" i="34"/>
  <c r="B20" i="34"/>
  <c r="J35" i="34"/>
  <c r="G5" i="34"/>
  <c r="F5" i="34"/>
  <c r="E5" i="34"/>
  <c r="D5" i="34"/>
  <c r="C5" i="34"/>
  <c r="B5" i="34"/>
  <c r="G22" i="34"/>
  <c r="F22" i="34"/>
  <c r="E22" i="34"/>
  <c r="D22" i="34"/>
  <c r="C22" i="34"/>
  <c r="B22" i="34"/>
  <c r="J36" i="34"/>
  <c r="G6" i="34"/>
  <c r="F6" i="34"/>
  <c r="E6" i="34"/>
  <c r="D6" i="34"/>
  <c r="C6" i="34"/>
  <c r="B6" i="34"/>
  <c r="J37" i="34"/>
  <c r="G59" i="34"/>
  <c r="F59" i="34"/>
  <c r="E59" i="34"/>
  <c r="D59" i="34"/>
  <c r="C59" i="34"/>
  <c r="B59" i="34"/>
  <c r="G7" i="34"/>
  <c r="F7" i="34"/>
  <c r="E7" i="34"/>
  <c r="D7" i="34"/>
  <c r="C7" i="34"/>
  <c r="B7" i="34"/>
  <c r="G36" i="34"/>
  <c r="F36" i="34"/>
  <c r="E36" i="34"/>
  <c r="D36" i="34"/>
  <c r="C36" i="34"/>
  <c r="B36" i="34"/>
  <c r="J38" i="34"/>
  <c r="G79" i="34"/>
  <c r="F79" i="34"/>
  <c r="E79" i="34"/>
  <c r="D79" i="34"/>
  <c r="C79" i="34"/>
  <c r="B79" i="34"/>
  <c r="G46" i="34"/>
  <c r="F46" i="34"/>
  <c r="E46" i="34"/>
  <c r="D46" i="34"/>
  <c r="C46" i="34"/>
  <c r="B46" i="34"/>
  <c r="J39" i="34"/>
  <c r="G45" i="34"/>
  <c r="F45" i="34"/>
  <c r="E45" i="34"/>
  <c r="D45" i="34"/>
  <c r="C45" i="34"/>
  <c r="B45" i="34"/>
  <c r="G9" i="34"/>
  <c r="F9" i="34"/>
  <c r="E9" i="34"/>
  <c r="D9" i="34"/>
  <c r="C9" i="34"/>
  <c r="B9" i="34"/>
  <c r="G47" i="34"/>
  <c r="F47" i="34"/>
  <c r="E47" i="34"/>
  <c r="D47" i="34"/>
  <c r="C47" i="34"/>
  <c r="B47" i="34"/>
  <c r="J40" i="34"/>
  <c r="G25" i="34"/>
  <c r="F25" i="34"/>
  <c r="E25" i="34"/>
  <c r="D25" i="34"/>
  <c r="C25" i="34"/>
  <c r="B25" i="34"/>
  <c r="G10" i="34"/>
  <c r="F10" i="34"/>
  <c r="E10" i="34"/>
  <c r="D10" i="34"/>
  <c r="C10" i="34"/>
  <c r="B10" i="34"/>
  <c r="G51" i="34"/>
  <c r="F51" i="34"/>
  <c r="E51" i="34"/>
  <c r="D51" i="34"/>
  <c r="C51" i="34"/>
  <c r="B51" i="34"/>
  <c r="J41" i="34"/>
  <c r="G26" i="34"/>
  <c r="F26" i="34"/>
  <c r="E26" i="34"/>
  <c r="D26" i="34"/>
  <c r="C26" i="34"/>
  <c r="B26" i="34"/>
  <c r="G11" i="34"/>
  <c r="F11" i="34"/>
  <c r="E11" i="34"/>
  <c r="D11" i="34"/>
  <c r="C11" i="34"/>
  <c r="B11" i="34"/>
  <c r="G54" i="34"/>
  <c r="F54" i="34"/>
  <c r="E54" i="34"/>
  <c r="D54" i="34"/>
  <c r="C54" i="34"/>
  <c r="B54" i="34"/>
  <c r="J42" i="34"/>
  <c r="G12" i="34"/>
  <c r="F12" i="34"/>
  <c r="E12" i="34"/>
  <c r="D12" i="34"/>
  <c r="C12" i="34"/>
  <c r="B12" i="34"/>
  <c r="G55" i="34"/>
  <c r="F55" i="34"/>
  <c r="E55" i="34"/>
  <c r="D55" i="34"/>
  <c r="C55" i="34"/>
  <c r="B55" i="34"/>
  <c r="J43" i="34"/>
  <c r="G80" i="34"/>
  <c r="F80" i="34"/>
  <c r="E80" i="34"/>
  <c r="D80" i="34"/>
  <c r="C80" i="34"/>
  <c r="B80" i="34"/>
  <c r="G13" i="34"/>
  <c r="F13" i="34"/>
  <c r="E13" i="34"/>
  <c r="D13" i="34"/>
  <c r="C13" i="34"/>
  <c r="B13" i="34"/>
  <c r="G57" i="34"/>
  <c r="F57" i="34"/>
  <c r="E57" i="34"/>
  <c r="D57" i="34"/>
  <c r="C57" i="34"/>
  <c r="B57" i="34"/>
  <c r="J44" i="34"/>
  <c r="G27" i="34"/>
  <c r="F27" i="34"/>
  <c r="E27" i="34"/>
  <c r="D27" i="34"/>
  <c r="C27" i="34"/>
  <c r="B27" i="34"/>
  <c r="G58" i="34"/>
  <c r="F58" i="34"/>
  <c r="E58" i="34"/>
  <c r="D58" i="34"/>
  <c r="C58" i="34"/>
  <c r="B58" i="34"/>
  <c r="J45" i="34"/>
  <c r="G60" i="34"/>
  <c r="F60" i="34"/>
  <c r="E60" i="34"/>
  <c r="D60" i="34"/>
  <c r="C60" i="34"/>
  <c r="B60" i="34"/>
  <c r="G15" i="34"/>
  <c r="F15" i="34"/>
  <c r="E15" i="34"/>
  <c r="D15" i="34"/>
  <c r="C15" i="34"/>
  <c r="B15" i="34"/>
  <c r="G61" i="34"/>
  <c r="F61" i="34"/>
  <c r="E61" i="34"/>
  <c r="D61" i="34"/>
  <c r="C61" i="34"/>
  <c r="B61" i="34"/>
  <c r="J46" i="34"/>
  <c r="G81" i="34"/>
  <c r="F81" i="34"/>
  <c r="E81" i="34"/>
  <c r="D81" i="34"/>
  <c r="C81" i="34"/>
  <c r="B81" i="34"/>
  <c r="G16" i="34"/>
  <c r="F16" i="34"/>
  <c r="E16" i="34"/>
  <c r="D16" i="34"/>
  <c r="C16" i="34"/>
  <c r="B16" i="34"/>
  <c r="G64" i="34"/>
  <c r="F64" i="34"/>
  <c r="E64" i="34"/>
  <c r="D64" i="34"/>
  <c r="C64" i="34"/>
  <c r="B64" i="34"/>
  <c r="J47" i="34"/>
  <c r="G17" i="34"/>
  <c r="F17" i="34"/>
  <c r="E17" i="34"/>
  <c r="D17" i="34"/>
  <c r="C17" i="34"/>
  <c r="B17" i="34"/>
  <c r="G73" i="34"/>
  <c r="F73" i="34"/>
  <c r="E73" i="34"/>
  <c r="D73" i="34"/>
  <c r="C73" i="34"/>
  <c r="B73" i="34"/>
  <c r="J48" i="34"/>
  <c r="G28" i="34"/>
  <c r="F28" i="34"/>
  <c r="E28" i="34"/>
  <c r="D28" i="34"/>
  <c r="C28" i="34"/>
  <c r="B28" i="34"/>
  <c r="G18" i="34"/>
  <c r="F18" i="34"/>
  <c r="E18" i="34"/>
  <c r="D18" i="34"/>
  <c r="C18" i="34"/>
  <c r="B18" i="34"/>
  <c r="G74" i="34"/>
  <c r="F74" i="34"/>
  <c r="E74" i="34"/>
  <c r="D74" i="34"/>
  <c r="C74" i="34"/>
  <c r="B74" i="34"/>
  <c r="J49" i="34"/>
  <c r="G19" i="34"/>
  <c r="F19" i="34"/>
  <c r="E19" i="34"/>
  <c r="D19" i="34"/>
  <c r="C19" i="34"/>
  <c r="B19" i="34"/>
  <c r="G88" i="34"/>
  <c r="F88" i="34"/>
  <c r="E88" i="34"/>
  <c r="D88" i="34"/>
  <c r="C88" i="34"/>
  <c r="B88" i="34"/>
  <c r="J50" i="34"/>
  <c r="G62" i="34"/>
  <c r="F62" i="34"/>
  <c r="E62" i="34"/>
  <c r="D62" i="34"/>
  <c r="C62" i="34"/>
  <c r="B62" i="34"/>
  <c r="G90" i="34"/>
  <c r="F90" i="34"/>
  <c r="E90" i="34"/>
  <c r="D90" i="34"/>
  <c r="C90" i="34"/>
  <c r="B90" i="34"/>
  <c r="J51" i="34"/>
  <c r="G82" i="34"/>
  <c r="F82" i="34"/>
  <c r="E82" i="34"/>
  <c r="D82" i="34"/>
  <c r="C82" i="34"/>
  <c r="B82" i="34"/>
  <c r="G21" i="34"/>
  <c r="F21" i="34"/>
  <c r="E21" i="34"/>
  <c r="D21" i="34"/>
  <c r="C21" i="34"/>
  <c r="B21" i="34"/>
  <c r="G100" i="34"/>
  <c r="F100" i="34"/>
  <c r="E100" i="34"/>
  <c r="D100" i="34"/>
  <c r="C100" i="34"/>
  <c r="B100" i="34"/>
  <c r="J52" i="34"/>
  <c r="G83" i="34"/>
  <c r="F83" i="34"/>
  <c r="E83" i="34"/>
  <c r="D83" i="34"/>
  <c r="C83" i="34"/>
  <c r="B83" i="34"/>
  <c r="G101" i="34"/>
  <c r="F101" i="34"/>
  <c r="E101" i="34"/>
  <c r="D101" i="34"/>
  <c r="C101" i="34"/>
  <c r="B101" i="34"/>
  <c r="J53" i="34"/>
  <c r="G63" i="34"/>
  <c r="F63" i="34"/>
  <c r="E63" i="34"/>
  <c r="D63" i="34"/>
  <c r="C63" i="34"/>
  <c r="B63" i="34"/>
  <c r="G23" i="34"/>
  <c r="F23" i="34"/>
  <c r="E23" i="34"/>
  <c r="D23" i="34"/>
  <c r="C23" i="34"/>
  <c r="B23" i="34"/>
  <c r="J54" i="34"/>
  <c r="G29" i="34"/>
  <c r="F29" i="34"/>
  <c r="E29" i="34"/>
  <c r="D29" i="34"/>
  <c r="C29" i="34"/>
  <c r="B29" i="34"/>
  <c r="J55" i="34"/>
  <c r="J56" i="34"/>
  <c r="J57" i="34"/>
  <c r="J58" i="34"/>
  <c r="J59" i="34"/>
  <c r="J60" i="34"/>
  <c r="G30" i="34"/>
  <c r="F30" i="34"/>
  <c r="E30" i="34"/>
  <c r="D30" i="34"/>
  <c r="C30" i="34"/>
  <c r="B30" i="34"/>
  <c r="J61" i="34"/>
  <c r="G31" i="34"/>
  <c r="F31" i="34"/>
  <c r="E31" i="34"/>
  <c r="D31" i="34"/>
  <c r="C31" i="34"/>
  <c r="B31" i="34"/>
  <c r="J62" i="34"/>
  <c r="G32" i="34"/>
  <c r="F32" i="34"/>
  <c r="E32" i="34"/>
  <c r="D32" i="34"/>
  <c r="C32" i="34"/>
  <c r="B32" i="34"/>
  <c r="G35" i="34"/>
  <c r="F35" i="34"/>
  <c r="E35" i="34"/>
  <c r="D35" i="34"/>
  <c r="C35" i="34"/>
  <c r="B35" i="34"/>
  <c r="J63" i="34"/>
  <c r="G65" i="34"/>
  <c r="F65" i="34"/>
  <c r="E65" i="34"/>
  <c r="D65" i="34"/>
  <c r="C65" i="34"/>
  <c r="B65" i="34"/>
  <c r="G33" i="34"/>
  <c r="F33" i="34"/>
  <c r="E33" i="34"/>
  <c r="D33" i="34"/>
  <c r="C33" i="34"/>
  <c r="B33" i="34"/>
  <c r="G37" i="34"/>
  <c r="F37" i="34"/>
  <c r="E37" i="34"/>
  <c r="D37" i="34"/>
  <c r="C37" i="34"/>
  <c r="B37" i="34"/>
  <c r="J64" i="34"/>
  <c r="G34" i="34"/>
  <c r="F34" i="34"/>
  <c r="E34" i="34"/>
  <c r="D34" i="34"/>
  <c r="C34" i="34"/>
  <c r="B34" i="34"/>
  <c r="G43" i="34"/>
  <c r="F43" i="34"/>
  <c r="E43" i="34"/>
  <c r="D43" i="34"/>
  <c r="C43" i="34"/>
  <c r="B43" i="34"/>
  <c r="J65" i="34"/>
  <c r="G44" i="34"/>
  <c r="F44" i="34"/>
  <c r="E44" i="34"/>
  <c r="D44" i="34"/>
  <c r="C44" i="34"/>
  <c r="B44" i="34"/>
  <c r="J66" i="34"/>
  <c r="G48" i="34"/>
  <c r="F48" i="34"/>
  <c r="E48" i="34"/>
  <c r="D48" i="34"/>
  <c r="C48" i="34"/>
  <c r="B48" i="34"/>
  <c r="J67" i="34"/>
  <c r="G49" i="34"/>
  <c r="F49" i="34"/>
  <c r="E49" i="34"/>
  <c r="D49" i="34"/>
  <c r="C49" i="34"/>
  <c r="B49" i="34"/>
  <c r="J68" i="34"/>
  <c r="G84" i="34"/>
  <c r="F84" i="34"/>
  <c r="E84" i="34"/>
  <c r="D84" i="34"/>
  <c r="C84" i="34"/>
  <c r="B84" i="34"/>
  <c r="G38" i="34"/>
  <c r="F38" i="34"/>
  <c r="E38" i="34"/>
  <c r="D38" i="34"/>
  <c r="C38" i="34"/>
  <c r="B38" i="34"/>
  <c r="G53" i="34"/>
  <c r="F53" i="34"/>
  <c r="E53" i="34"/>
  <c r="D53" i="34"/>
  <c r="C53" i="34"/>
  <c r="B53" i="34"/>
  <c r="J69" i="34"/>
  <c r="G39" i="34"/>
  <c r="F39" i="34"/>
  <c r="E39" i="34"/>
  <c r="D39" i="34"/>
  <c r="C39" i="34"/>
  <c r="B39" i="34"/>
  <c r="J70" i="34"/>
  <c r="G40" i="34"/>
  <c r="F40" i="34"/>
  <c r="E40" i="34"/>
  <c r="D40" i="34"/>
  <c r="C40" i="34"/>
  <c r="B40" i="34"/>
  <c r="J71" i="34"/>
  <c r="G66" i="34"/>
  <c r="F66" i="34"/>
  <c r="E66" i="34"/>
  <c r="D66" i="34"/>
  <c r="C66" i="34"/>
  <c r="B66" i="34"/>
  <c r="G41" i="34"/>
  <c r="F41" i="34"/>
  <c r="E41" i="34"/>
  <c r="D41" i="34"/>
  <c r="C41" i="34"/>
  <c r="B41" i="34"/>
  <c r="G68" i="34"/>
  <c r="F68" i="34"/>
  <c r="E68" i="34"/>
  <c r="D68" i="34"/>
  <c r="C68" i="34"/>
  <c r="B68" i="34"/>
  <c r="J72" i="34"/>
  <c r="G42" i="34"/>
  <c r="F42" i="34"/>
  <c r="E42" i="34"/>
  <c r="D42" i="34"/>
  <c r="C42" i="34"/>
  <c r="B42" i="34"/>
  <c r="G70" i="34"/>
  <c r="F70" i="34"/>
  <c r="E70" i="34"/>
  <c r="D70" i="34"/>
  <c r="C70" i="34"/>
  <c r="B70" i="34"/>
  <c r="J73" i="34"/>
  <c r="G50" i="34"/>
  <c r="F50" i="34"/>
  <c r="E50" i="34"/>
  <c r="D50" i="34"/>
  <c r="C50" i="34"/>
  <c r="B50" i="34"/>
  <c r="J74" i="34"/>
  <c r="G85" i="34"/>
  <c r="F85" i="34"/>
  <c r="E85" i="34"/>
  <c r="D85" i="34"/>
  <c r="C85" i="34"/>
  <c r="B85" i="34"/>
  <c r="J75" i="34"/>
  <c r="G86" i="34"/>
  <c r="F86" i="34"/>
  <c r="E86" i="34"/>
  <c r="D86" i="34"/>
  <c r="C86" i="34"/>
  <c r="B86" i="34"/>
  <c r="J76" i="34"/>
  <c r="J77" i="34"/>
  <c r="G67" i="34"/>
  <c r="F67" i="34"/>
  <c r="E67" i="34"/>
  <c r="D67" i="34"/>
  <c r="C67" i="34"/>
  <c r="B67" i="34"/>
  <c r="G97" i="34"/>
  <c r="F97" i="34"/>
  <c r="E97" i="34"/>
  <c r="D97" i="34"/>
  <c r="C97" i="34"/>
  <c r="B97" i="34"/>
  <c r="J78" i="34"/>
  <c r="G98" i="34"/>
  <c r="F98" i="34"/>
  <c r="E98" i="34"/>
  <c r="D98" i="34"/>
  <c r="C98" i="34"/>
  <c r="B98" i="34"/>
  <c r="J79" i="34"/>
  <c r="G99" i="34"/>
  <c r="F99" i="34"/>
  <c r="E99" i="34"/>
  <c r="D99" i="34"/>
  <c r="C99" i="34"/>
  <c r="B99" i="34"/>
  <c r="J80" i="34"/>
  <c r="G87" i="34"/>
  <c r="F87" i="34"/>
  <c r="E87" i="34"/>
  <c r="D87" i="34"/>
  <c r="C87" i="34"/>
  <c r="B87" i="34"/>
  <c r="J81" i="34"/>
  <c r="J82" i="34"/>
  <c r="G52" i="34"/>
  <c r="F52" i="34"/>
  <c r="E52" i="34"/>
  <c r="D52" i="34"/>
  <c r="C52" i="34"/>
  <c r="B52" i="34"/>
  <c r="J83" i="34"/>
  <c r="G69" i="34"/>
  <c r="F69" i="34"/>
  <c r="E69" i="34"/>
  <c r="D69" i="34"/>
  <c r="C69" i="34"/>
  <c r="B69" i="34"/>
  <c r="J84" i="34"/>
  <c r="J85" i="34"/>
  <c r="J86" i="34"/>
  <c r="G56" i="34"/>
  <c r="F56" i="34"/>
  <c r="E56" i="34"/>
  <c r="D56" i="34"/>
  <c r="C56" i="34"/>
  <c r="B56" i="34"/>
  <c r="J87" i="34"/>
  <c r="J88" i="34"/>
  <c r="J89" i="34"/>
  <c r="G89" i="34"/>
  <c r="F89" i="34"/>
  <c r="E89" i="34"/>
  <c r="D89" i="34"/>
  <c r="C89" i="34"/>
  <c r="B89" i="34"/>
  <c r="J90" i="34"/>
  <c r="G71" i="34"/>
  <c r="F71" i="34"/>
  <c r="E71" i="34"/>
  <c r="D71" i="34"/>
  <c r="C71" i="34"/>
  <c r="B71" i="34"/>
  <c r="J91" i="34"/>
  <c r="G76" i="34"/>
  <c r="F76" i="34"/>
  <c r="E76" i="34"/>
  <c r="D76" i="34"/>
  <c r="C76" i="34"/>
  <c r="B76" i="34"/>
  <c r="J92" i="34"/>
  <c r="J93" i="34"/>
  <c r="J94" i="34"/>
  <c r="G91" i="34"/>
  <c r="F91" i="34"/>
  <c r="E91" i="34"/>
  <c r="D91" i="34"/>
  <c r="C91" i="34"/>
  <c r="B91" i="34"/>
  <c r="J95" i="34"/>
  <c r="G92" i="34"/>
  <c r="F92" i="34"/>
  <c r="E92" i="34"/>
  <c r="D92" i="34"/>
  <c r="C92" i="34"/>
  <c r="B92" i="34"/>
  <c r="J96" i="34"/>
  <c r="G96" i="34"/>
  <c r="F96" i="34"/>
  <c r="E96" i="34"/>
  <c r="D96" i="34"/>
  <c r="C96" i="34"/>
  <c r="B96" i="34"/>
  <c r="J97" i="34"/>
  <c r="G72" i="34"/>
  <c r="F72" i="34"/>
  <c r="E72" i="34"/>
  <c r="D72" i="34"/>
  <c r="C72" i="34"/>
  <c r="B72" i="34"/>
  <c r="J98" i="34"/>
  <c r="J99" i="34"/>
  <c r="J100" i="34"/>
  <c r="J101" i="34"/>
  <c r="J102" i="34"/>
  <c r="J103" i="34"/>
  <c r="G93" i="34"/>
  <c r="F93" i="34"/>
  <c r="E93" i="34"/>
  <c r="D93" i="34"/>
  <c r="C93" i="34"/>
  <c r="B93" i="34"/>
  <c r="J104" i="34"/>
  <c r="J105" i="34"/>
  <c r="G75" i="34"/>
  <c r="F75" i="34"/>
  <c r="E75" i="34"/>
  <c r="D75" i="34"/>
  <c r="C75" i="34"/>
  <c r="B75" i="34"/>
  <c r="J106" i="34"/>
  <c r="J107" i="34"/>
  <c r="G94" i="34"/>
  <c r="F94" i="34"/>
  <c r="E94" i="34"/>
  <c r="D94" i="34"/>
  <c r="C94" i="34"/>
  <c r="B94" i="34"/>
  <c r="G77" i="34"/>
  <c r="F77" i="34"/>
  <c r="E77" i="34"/>
  <c r="D77" i="34"/>
  <c r="C77" i="34"/>
  <c r="B77" i="34"/>
  <c r="J108" i="34"/>
  <c r="G78" i="34"/>
  <c r="F78" i="34"/>
  <c r="E78" i="34"/>
  <c r="D78" i="34"/>
  <c r="C78" i="34"/>
  <c r="B78" i="34"/>
  <c r="J109" i="34"/>
  <c r="G95" i="34"/>
  <c r="F95" i="34"/>
  <c r="E95" i="34"/>
  <c r="D95" i="34"/>
  <c r="C95" i="34"/>
  <c r="B95" i="34"/>
  <c r="J110" i="34"/>
  <c r="J111" i="34"/>
  <c r="J112" i="34"/>
  <c r="J113" i="34"/>
  <c r="J114" i="34"/>
  <c r="J115" i="34"/>
  <c r="J116" i="34"/>
  <c r="J117" i="34"/>
  <c r="J118" i="34"/>
  <c r="J119" i="34"/>
  <c r="J120" i="34"/>
  <c r="J121" i="34"/>
  <c r="J122" i="34"/>
  <c r="J123" i="34"/>
  <c r="J124" i="34"/>
  <c r="J125" i="34"/>
  <c r="J126" i="34"/>
  <c r="J127" i="34"/>
  <c r="J128" i="34"/>
  <c r="J129" i="34"/>
  <c r="J130" i="34"/>
  <c r="J131" i="34"/>
  <c r="J132" i="34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D84" i="37"/>
  <c r="D85" i="37"/>
  <c r="D86" i="37"/>
  <c r="D87" i="37"/>
  <c r="D88" i="37"/>
  <c r="D89" i="37"/>
  <c r="D90" i="37"/>
  <c r="D91" i="37"/>
  <c r="D92" i="37"/>
  <c r="D93" i="37"/>
  <c r="D94" i="37"/>
  <c r="D95" i="37"/>
  <c r="D96" i="37"/>
  <c r="D97" i="37"/>
  <c r="D98" i="37"/>
  <c r="D99" i="37"/>
  <c r="D100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38" i="37"/>
  <c r="D139" i="37"/>
  <c r="D140" i="37"/>
  <c r="D141" i="37"/>
  <c r="D142" i="37"/>
  <c r="D143" i="37"/>
  <c r="D144" i="37"/>
  <c r="D145" i="37"/>
  <c r="D146" i="37"/>
  <c r="D147" i="37"/>
  <c r="D148" i="37"/>
  <c r="D149" i="37"/>
  <c r="D150" i="37"/>
  <c r="D151" i="37"/>
  <c r="D152" i="37"/>
  <c r="D153" i="37"/>
  <c r="D154" i="37"/>
  <c r="D155" i="37"/>
  <c r="D156" i="37"/>
  <c r="D157" i="37"/>
  <c r="D158" i="37"/>
  <c r="D159" i="37"/>
  <c r="D160" i="37"/>
  <c r="D161" i="37"/>
  <c r="D162" i="37"/>
  <c r="D163" i="37"/>
  <c r="D164" i="37"/>
  <c r="D165" i="37"/>
  <c r="D166" i="37"/>
  <c r="D167" i="37"/>
  <c r="D168" i="37"/>
  <c r="D169" i="37"/>
  <c r="D170" i="37"/>
  <c r="D171" i="37"/>
  <c r="D172" i="37"/>
  <c r="D173" i="37"/>
  <c r="D174" i="37"/>
  <c r="D175" i="37"/>
  <c r="D176" i="37"/>
  <c r="D177" i="37"/>
  <c r="D178" i="37"/>
  <c r="D179" i="37"/>
  <c r="D180" i="37"/>
  <c r="D181" i="37"/>
  <c r="D182" i="37"/>
  <c r="D183" i="37"/>
  <c r="D184" i="37"/>
  <c r="D185" i="37"/>
  <c r="D186" i="37"/>
  <c r="D187" i="37"/>
  <c r="D188" i="37"/>
  <c r="D189" i="37"/>
  <c r="D190" i="37"/>
  <c r="D191" i="37"/>
  <c r="D192" i="37"/>
  <c r="D193" i="37"/>
  <c r="D194" i="37"/>
  <c r="D195" i="37"/>
  <c r="D196" i="37"/>
  <c r="D197" i="37"/>
  <c r="D198" i="37"/>
  <c r="D199" i="37"/>
  <c r="D200" i="37"/>
  <c r="D201" i="37"/>
  <c r="D202" i="37"/>
  <c r="D203" i="37"/>
  <c r="D204" i="37"/>
  <c r="D205" i="37"/>
  <c r="D206" i="37"/>
  <c r="D207" i="37"/>
  <c r="D208" i="37"/>
  <c r="D209" i="37"/>
  <c r="D210" i="37"/>
  <c r="D211" i="37"/>
  <c r="D212" i="37"/>
  <c r="D213" i="37"/>
  <c r="D214" i="37"/>
  <c r="D215" i="37"/>
  <c r="D216" i="37"/>
  <c r="D217" i="37"/>
  <c r="D218" i="37"/>
  <c r="D219" i="37"/>
  <c r="D220" i="37"/>
  <c r="D221" i="37"/>
  <c r="D222" i="37"/>
  <c r="D223" i="37"/>
  <c r="D224" i="37"/>
  <c r="D225" i="37"/>
  <c r="D226" i="37"/>
  <c r="D227" i="37"/>
  <c r="D228" i="37"/>
  <c r="D229" i="37"/>
  <c r="D230" i="37"/>
  <c r="D231" i="37"/>
  <c r="D232" i="37"/>
  <c r="D233" i="37"/>
  <c r="D234" i="37"/>
  <c r="D235" i="37"/>
  <c r="D236" i="37"/>
  <c r="D237" i="37"/>
  <c r="D238" i="37"/>
  <c r="D239" i="37"/>
  <c r="D240" i="37"/>
  <c r="D241" i="37"/>
  <c r="D242" i="37"/>
  <c r="D243" i="37"/>
  <c r="D244" i="37"/>
  <c r="D245" i="37"/>
  <c r="D246" i="37"/>
  <c r="D247" i="37"/>
  <c r="D248" i="37"/>
  <c r="D249" i="37"/>
  <c r="D250" i="37"/>
  <c r="D251" i="37"/>
  <c r="D252" i="37"/>
  <c r="D253" i="37"/>
  <c r="D254" i="37"/>
  <c r="D255" i="37"/>
  <c r="D256" i="37"/>
  <c r="D257" i="37"/>
  <c r="D258" i="37"/>
  <c r="D259" i="37"/>
  <c r="D260" i="37"/>
  <c r="D261" i="37"/>
  <c r="D262" i="37"/>
  <c r="D263" i="37"/>
  <c r="D264" i="37"/>
  <c r="D265" i="37"/>
  <c r="D266" i="37"/>
  <c r="D267" i="37"/>
  <c r="D268" i="37"/>
  <c r="D269" i="37"/>
  <c r="D270" i="37"/>
  <c r="D271" i="37"/>
  <c r="D272" i="37"/>
  <c r="D273" i="37"/>
  <c r="D274" i="37"/>
  <c r="D275" i="37"/>
  <c r="D276" i="37"/>
  <c r="D277" i="37"/>
  <c r="D278" i="37"/>
  <c r="D279" i="37"/>
  <c r="D280" i="37"/>
  <c r="D281" i="37"/>
  <c r="D282" i="37"/>
  <c r="D283" i="37"/>
  <c r="D284" i="37"/>
  <c r="D285" i="37"/>
  <c r="D286" i="37"/>
  <c r="D287" i="37"/>
  <c r="D288" i="37"/>
  <c r="D289" i="37"/>
  <c r="D290" i="37"/>
  <c r="D291" i="37"/>
  <c r="D292" i="37"/>
  <c r="D293" i="37"/>
  <c r="D294" i="37"/>
  <c r="D295" i="37"/>
  <c r="D296" i="37"/>
  <c r="D297" i="37"/>
  <c r="D298" i="37"/>
  <c r="D299" i="37"/>
  <c r="D300" i="37"/>
  <c r="D301" i="37"/>
  <c r="C3" i="43"/>
  <c r="D18" i="43"/>
  <c r="C4" i="43"/>
  <c r="D19" i="43"/>
  <c r="C5" i="43"/>
  <c r="D20" i="43"/>
  <c r="C6" i="43"/>
  <c r="D21" i="43"/>
  <c r="C7" i="43"/>
  <c r="D22" i="43"/>
  <c r="C8" i="43"/>
  <c r="D23" i="43"/>
  <c r="D17" i="43"/>
  <c r="F21" i="41"/>
  <c r="E21" i="41"/>
  <c r="D21" i="41"/>
  <c r="B21" i="41"/>
  <c r="C21" i="41"/>
  <c r="I39" i="41"/>
  <c r="F19" i="41"/>
  <c r="E19" i="41"/>
  <c r="D19" i="41"/>
  <c r="B19" i="41"/>
  <c r="C19" i="41"/>
  <c r="I37" i="41"/>
  <c r="F20" i="41"/>
  <c r="E20" i="41"/>
  <c r="D20" i="41"/>
  <c r="B20" i="41"/>
  <c r="C20" i="41"/>
  <c r="I38" i="41"/>
  <c r="F10" i="41"/>
  <c r="E10" i="41"/>
  <c r="D10" i="41"/>
  <c r="B10" i="41"/>
  <c r="C10" i="41"/>
  <c r="I28" i="41"/>
  <c r="F11" i="41"/>
  <c r="E11" i="41"/>
  <c r="D11" i="41"/>
  <c r="B11" i="41"/>
  <c r="C11" i="41"/>
  <c r="I29" i="41"/>
  <c r="F12" i="41"/>
  <c r="E12" i="41"/>
  <c r="D12" i="41"/>
  <c r="B12" i="41"/>
  <c r="C12" i="41"/>
  <c r="I30" i="41"/>
  <c r="F13" i="41"/>
  <c r="E13" i="41"/>
  <c r="D13" i="41"/>
  <c r="B13" i="41"/>
  <c r="C13" i="41"/>
  <c r="I31" i="41"/>
  <c r="F14" i="41"/>
  <c r="E14" i="41"/>
  <c r="D14" i="41"/>
  <c r="B14" i="41"/>
  <c r="C14" i="41"/>
  <c r="I32" i="41"/>
  <c r="F15" i="41"/>
  <c r="E15" i="41"/>
  <c r="D15" i="41"/>
  <c r="B15" i="41"/>
  <c r="C15" i="41"/>
  <c r="I33" i="41"/>
  <c r="F16" i="41"/>
  <c r="E16" i="41"/>
  <c r="D16" i="41"/>
  <c r="B16" i="41"/>
  <c r="C16" i="41"/>
  <c r="I34" i="41"/>
  <c r="F17" i="41"/>
  <c r="E17" i="41"/>
  <c r="D17" i="41"/>
  <c r="B17" i="41"/>
  <c r="C17" i="41"/>
  <c r="I35" i="41"/>
  <c r="F18" i="41"/>
  <c r="E18" i="41"/>
  <c r="D18" i="41"/>
  <c r="B18" i="41"/>
  <c r="C18" i="41"/>
  <c r="I36" i="41"/>
  <c r="F20" i="44"/>
  <c r="F21" i="44"/>
  <c r="F22" i="44"/>
  <c r="F19" i="44"/>
  <c r="F3" i="41"/>
  <c r="E3" i="41"/>
  <c r="D3" i="41"/>
  <c r="B3" i="41"/>
  <c r="C3" i="41"/>
  <c r="I21" i="41"/>
  <c r="F4" i="41"/>
  <c r="E4" i="41"/>
  <c r="D4" i="41"/>
  <c r="B4" i="41"/>
  <c r="C4" i="41"/>
  <c r="I22" i="41"/>
  <c r="F5" i="41"/>
  <c r="E5" i="41"/>
  <c r="D5" i="41"/>
  <c r="B5" i="41"/>
  <c r="C5" i="41"/>
  <c r="I23" i="41"/>
  <c r="F6" i="41"/>
  <c r="E6" i="41"/>
  <c r="D6" i="41"/>
  <c r="B6" i="41"/>
  <c r="C6" i="41"/>
  <c r="I24" i="41"/>
  <c r="F7" i="41"/>
  <c r="E7" i="41"/>
  <c r="D7" i="41"/>
  <c r="B7" i="41"/>
  <c r="C7" i="41"/>
  <c r="I25" i="41"/>
  <c r="F8" i="41"/>
  <c r="E8" i="41"/>
  <c r="D8" i="41"/>
  <c r="B8" i="41"/>
  <c r="C8" i="41"/>
  <c r="I26" i="41"/>
  <c r="F9" i="41"/>
  <c r="E9" i="41"/>
  <c r="D9" i="41"/>
  <c r="B9" i="41"/>
  <c r="C9" i="41"/>
  <c r="I27" i="41"/>
  <c r="H3" i="37"/>
  <c r="G3" i="37"/>
  <c r="F3" i="37"/>
  <c r="E3" i="37"/>
  <c r="B3" i="37"/>
  <c r="C3" i="37"/>
  <c r="J33" i="37"/>
  <c r="H4" i="37"/>
  <c r="G4" i="37"/>
  <c r="F4" i="37"/>
  <c r="E4" i="37"/>
  <c r="B4" i="37"/>
  <c r="C4" i="37"/>
  <c r="J34" i="37"/>
  <c r="H5" i="37"/>
  <c r="G5" i="37"/>
  <c r="F5" i="37"/>
  <c r="E5" i="37"/>
  <c r="B5" i="37"/>
  <c r="C5" i="37"/>
  <c r="J35" i="37"/>
  <c r="H6" i="37"/>
  <c r="G6" i="37"/>
  <c r="F6" i="37"/>
  <c r="E6" i="37"/>
  <c r="B6" i="37"/>
  <c r="C6" i="37"/>
  <c r="J36" i="37"/>
  <c r="H7" i="37"/>
  <c r="G7" i="37"/>
  <c r="F7" i="37"/>
  <c r="E7" i="37"/>
  <c r="B7" i="37"/>
  <c r="C7" i="37"/>
  <c r="J37" i="37"/>
  <c r="H8" i="37"/>
  <c r="G8" i="37"/>
  <c r="F8" i="37"/>
  <c r="E8" i="37"/>
  <c r="B8" i="37"/>
  <c r="C8" i="37"/>
  <c r="J38" i="37"/>
  <c r="H9" i="37"/>
  <c r="G9" i="37"/>
  <c r="F9" i="37"/>
  <c r="E9" i="37"/>
  <c r="B9" i="37"/>
  <c r="C9" i="37"/>
  <c r="J39" i="37"/>
  <c r="H10" i="37"/>
  <c r="G10" i="37"/>
  <c r="F10" i="37"/>
  <c r="E10" i="37"/>
  <c r="B10" i="37"/>
  <c r="C10" i="37"/>
  <c r="J40" i="37"/>
  <c r="H11" i="37"/>
  <c r="G11" i="37"/>
  <c r="F11" i="37"/>
  <c r="E11" i="37"/>
  <c r="B11" i="37"/>
  <c r="C11" i="37"/>
  <c r="J41" i="37"/>
  <c r="H12" i="37"/>
  <c r="G12" i="37"/>
  <c r="F12" i="37"/>
  <c r="E12" i="37"/>
  <c r="B12" i="37"/>
  <c r="C12" i="37"/>
  <c r="J42" i="37"/>
  <c r="H13" i="37"/>
  <c r="G13" i="37"/>
  <c r="F13" i="37"/>
  <c r="E13" i="37"/>
  <c r="B13" i="37"/>
  <c r="C13" i="37"/>
  <c r="J43" i="37"/>
  <c r="H14" i="37"/>
  <c r="G14" i="37"/>
  <c r="F14" i="37"/>
  <c r="E14" i="37"/>
  <c r="B14" i="37"/>
  <c r="C14" i="37"/>
  <c r="J44" i="37"/>
  <c r="H15" i="37"/>
  <c r="G15" i="37"/>
  <c r="F15" i="37"/>
  <c r="E15" i="37"/>
  <c r="B15" i="37"/>
  <c r="C15" i="37"/>
  <c r="J45" i="37"/>
  <c r="H16" i="37"/>
  <c r="G16" i="37"/>
  <c r="F16" i="37"/>
  <c r="E16" i="37"/>
  <c r="B16" i="37"/>
  <c r="C16" i="37"/>
  <c r="J46" i="37"/>
  <c r="H17" i="37"/>
  <c r="G17" i="37"/>
  <c r="F17" i="37"/>
  <c r="E17" i="37"/>
  <c r="B17" i="37"/>
  <c r="C17" i="37"/>
  <c r="J47" i="37"/>
  <c r="H18" i="37"/>
  <c r="G18" i="37"/>
  <c r="F18" i="37"/>
  <c r="E18" i="37"/>
  <c r="B18" i="37"/>
  <c r="C18" i="37"/>
  <c r="J48" i="37"/>
  <c r="H19" i="37"/>
  <c r="G19" i="37"/>
  <c r="F19" i="37"/>
  <c r="E19" i="37"/>
  <c r="B19" i="37"/>
  <c r="C19" i="37"/>
  <c r="J49" i="37"/>
  <c r="H20" i="37"/>
  <c r="G20" i="37"/>
  <c r="F20" i="37"/>
  <c r="E20" i="37"/>
  <c r="B20" i="37"/>
  <c r="C20" i="37"/>
  <c r="J50" i="37"/>
  <c r="H21" i="37"/>
  <c r="G21" i="37"/>
  <c r="F21" i="37"/>
  <c r="E21" i="37"/>
  <c r="B21" i="37"/>
  <c r="C21" i="37"/>
  <c r="J51" i="37"/>
  <c r="H22" i="37"/>
  <c r="G22" i="37"/>
  <c r="F22" i="37"/>
  <c r="E22" i="37"/>
  <c r="B22" i="37"/>
  <c r="C22" i="37"/>
  <c r="J52" i="37"/>
  <c r="H23" i="37"/>
  <c r="G23" i="37"/>
  <c r="F23" i="37"/>
  <c r="E23" i="37"/>
  <c r="B23" i="37"/>
  <c r="C23" i="37"/>
  <c r="J53" i="37"/>
  <c r="H24" i="37"/>
  <c r="G24" i="37"/>
  <c r="F24" i="37"/>
  <c r="E24" i="37"/>
  <c r="B24" i="37"/>
  <c r="C24" i="37"/>
  <c r="J54" i="37"/>
  <c r="H25" i="37"/>
  <c r="G25" i="37"/>
  <c r="F25" i="37"/>
  <c r="E25" i="37"/>
  <c r="B25" i="37"/>
  <c r="C25" i="37"/>
  <c r="J55" i="37"/>
  <c r="H26" i="37"/>
  <c r="G26" i="37"/>
  <c r="F26" i="37"/>
  <c r="E26" i="37"/>
  <c r="B26" i="37"/>
  <c r="C26" i="37"/>
  <c r="J56" i="37"/>
  <c r="H27" i="37"/>
  <c r="G27" i="37"/>
  <c r="F27" i="37"/>
  <c r="E27" i="37"/>
  <c r="B27" i="37"/>
  <c r="C27" i="37"/>
  <c r="J57" i="37"/>
  <c r="H28" i="37"/>
  <c r="G28" i="37"/>
  <c r="F28" i="37"/>
  <c r="E28" i="37"/>
  <c r="B28" i="37"/>
  <c r="C28" i="37"/>
  <c r="J58" i="37"/>
  <c r="H29" i="37"/>
  <c r="G29" i="37"/>
  <c r="F29" i="37"/>
  <c r="E29" i="37"/>
  <c r="B29" i="37"/>
  <c r="C29" i="37"/>
  <c r="J59" i="37"/>
  <c r="H30" i="37"/>
  <c r="G30" i="37"/>
  <c r="F30" i="37"/>
  <c r="E30" i="37"/>
  <c r="B30" i="37"/>
  <c r="C30" i="37"/>
  <c r="J60" i="37"/>
  <c r="H31" i="37"/>
  <c r="G31" i="37"/>
  <c r="F31" i="37"/>
  <c r="E31" i="37"/>
  <c r="B31" i="37"/>
  <c r="C31" i="37"/>
  <c r="J61" i="37"/>
  <c r="H32" i="37"/>
  <c r="G32" i="37"/>
  <c r="F32" i="37"/>
  <c r="E32" i="37"/>
  <c r="B32" i="37"/>
  <c r="C32" i="37"/>
  <c r="J62" i="37"/>
  <c r="H33" i="37"/>
  <c r="G33" i="37"/>
  <c r="F33" i="37"/>
  <c r="E33" i="37"/>
  <c r="B33" i="37"/>
  <c r="C33" i="37"/>
  <c r="J63" i="37"/>
  <c r="H34" i="37"/>
  <c r="G34" i="37"/>
  <c r="F34" i="37"/>
  <c r="E34" i="37"/>
  <c r="B34" i="37"/>
  <c r="C34" i="37"/>
  <c r="J64" i="37"/>
  <c r="H35" i="37"/>
  <c r="G35" i="37"/>
  <c r="F35" i="37"/>
  <c r="E35" i="37"/>
  <c r="B35" i="37"/>
  <c r="C35" i="37"/>
  <c r="J65" i="37"/>
  <c r="H36" i="37"/>
  <c r="G36" i="37"/>
  <c r="F36" i="37"/>
  <c r="E36" i="37"/>
  <c r="B36" i="37"/>
  <c r="C36" i="37"/>
  <c r="J66" i="37"/>
  <c r="H37" i="37"/>
  <c r="G37" i="37"/>
  <c r="F37" i="37"/>
  <c r="E37" i="37"/>
  <c r="B37" i="37"/>
  <c r="C37" i="37"/>
  <c r="J67" i="37"/>
  <c r="H38" i="37"/>
  <c r="G38" i="37"/>
  <c r="F38" i="37"/>
  <c r="E38" i="37"/>
  <c r="B38" i="37"/>
  <c r="C38" i="37"/>
  <c r="J68" i="37"/>
  <c r="H39" i="37"/>
  <c r="G39" i="37"/>
  <c r="F39" i="37"/>
  <c r="E39" i="37"/>
  <c r="B39" i="37"/>
  <c r="C39" i="37"/>
  <c r="J69" i="37"/>
  <c r="H40" i="37"/>
  <c r="G40" i="37"/>
  <c r="F40" i="37"/>
  <c r="E40" i="37"/>
  <c r="B40" i="37"/>
  <c r="C40" i="37"/>
  <c r="J70" i="37"/>
  <c r="H41" i="37"/>
  <c r="G41" i="37"/>
  <c r="F41" i="37"/>
  <c r="E41" i="37"/>
  <c r="B41" i="37"/>
  <c r="C41" i="37"/>
  <c r="J71" i="37"/>
  <c r="H42" i="37"/>
  <c r="G42" i="37"/>
  <c r="F42" i="37"/>
  <c r="E42" i="37"/>
  <c r="B42" i="37"/>
  <c r="C42" i="37"/>
  <c r="J72" i="37"/>
  <c r="H43" i="37"/>
  <c r="G43" i="37"/>
  <c r="F43" i="37"/>
  <c r="E43" i="37"/>
  <c r="B43" i="37"/>
  <c r="C43" i="37"/>
  <c r="J73" i="37"/>
  <c r="H44" i="37"/>
  <c r="G44" i="37"/>
  <c r="F44" i="37"/>
  <c r="E44" i="37"/>
  <c r="B44" i="37"/>
  <c r="C44" i="37"/>
  <c r="J74" i="37"/>
  <c r="H45" i="37"/>
  <c r="G45" i="37"/>
  <c r="F45" i="37"/>
  <c r="E45" i="37"/>
  <c r="B45" i="37"/>
  <c r="C45" i="37"/>
  <c r="J75" i="37"/>
  <c r="H46" i="37"/>
  <c r="G46" i="37"/>
  <c r="F46" i="37"/>
  <c r="E46" i="37"/>
  <c r="B46" i="37"/>
  <c r="C46" i="37"/>
  <c r="J76" i="37"/>
  <c r="H47" i="37"/>
  <c r="G47" i="37"/>
  <c r="F47" i="37"/>
  <c r="E47" i="37"/>
  <c r="B47" i="37"/>
  <c r="C47" i="37"/>
  <c r="J77" i="37"/>
  <c r="H48" i="37"/>
  <c r="G48" i="37"/>
  <c r="F48" i="37"/>
  <c r="E48" i="37"/>
  <c r="B48" i="37"/>
  <c r="C48" i="37"/>
  <c r="J78" i="37"/>
  <c r="H49" i="37"/>
  <c r="G49" i="37"/>
  <c r="F49" i="37"/>
  <c r="E49" i="37"/>
  <c r="B49" i="37"/>
  <c r="C49" i="37"/>
  <c r="J79" i="37"/>
  <c r="H50" i="37"/>
  <c r="G50" i="37"/>
  <c r="F50" i="37"/>
  <c r="E50" i="37"/>
  <c r="B50" i="37"/>
  <c r="C50" i="37"/>
  <c r="J80" i="37"/>
  <c r="H51" i="37"/>
  <c r="G51" i="37"/>
  <c r="F51" i="37"/>
  <c r="E51" i="37"/>
  <c r="B51" i="37"/>
  <c r="C51" i="37"/>
  <c r="J81" i="37"/>
  <c r="H52" i="37"/>
  <c r="G52" i="37"/>
  <c r="F52" i="37"/>
  <c r="E52" i="37"/>
  <c r="B52" i="37"/>
  <c r="C52" i="37"/>
  <c r="J82" i="37"/>
  <c r="H53" i="37"/>
  <c r="G53" i="37"/>
  <c r="F53" i="37"/>
  <c r="E53" i="37"/>
  <c r="B53" i="37"/>
  <c r="C53" i="37"/>
  <c r="J83" i="37"/>
  <c r="H54" i="37"/>
  <c r="G54" i="37"/>
  <c r="F54" i="37"/>
  <c r="E54" i="37"/>
  <c r="B54" i="37"/>
  <c r="C54" i="37"/>
  <c r="J84" i="37"/>
  <c r="H55" i="37"/>
  <c r="G55" i="37"/>
  <c r="F55" i="37"/>
  <c r="E55" i="37"/>
  <c r="B55" i="37"/>
  <c r="C55" i="37"/>
  <c r="J85" i="37"/>
  <c r="H56" i="37"/>
  <c r="G56" i="37"/>
  <c r="F56" i="37"/>
  <c r="E56" i="37"/>
  <c r="B56" i="37"/>
  <c r="C56" i="37"/>
  <c r="J86" i="37"/>
  <c r="H57" i="37"/>
  <c r="G57" i="37"/>
  <c r="F57" i="37"/>
  <c r="E57" i="37"/>
  <c r="B57" i="37"/>
  <c r="C57" i="37"/>
  <c r="J87" i="37"/>
  <c r="H58" i="37"/>
  <c r="G58" i="37"/>
  <c r="F58" i="37"/>
  <c r="E58" i="37"/>
  <c r="B58" i="37"/>
  <c r="C58" i="37"/>
  <c r="J88" i="37"/>
  <c r="H59" i="37"/>
  <c r="G59" i="37"/>
  <c r="F59" i="37"/>
  <c r="E59" i="37"/>
  <c r="B59" i="37"/>
  <c r="C59" i="37"/>
  <c r="J89" i="37"/>
  <c r="H60" i="37"/>
  <c r="G60" i="37"/>
  <c r="F60" i="37"/>
  <c r="E60" i="37"/>
  <c r="B60" i="37"/>
  <c r="C60" i="37"/>
  <c r="J90" i="37"/>
  <c r="H61" i="37"/>
  <c r="G61" i="37"/>
  <c r="F61" i="37"/>
  <c r="E61" i="37"/>
  <c r="B61" i="37"/>
  <c r="C61" i="37"/>
  <c r="J91" i="37"/>
  <c r="H62" i="37"/>
  <c r="G62" i="37"/>
  <c r="F62" i="37"/>
  <c r="E62" i="37"/>
  <c r="B62" i="37"/>
  <c r="C62" i="37"/>
  <c r="J92" i="37"/>
  <c r="H63" i="37"/>
  <c r="G63" i="37"/>
  <c r="F63" i="37"/>
  <c r="E63" i="37"/>
  <c r="B63" i="37"/>
  <c r="C63" i="37"/>
  <c r="J93" i="37"/>
  <c r="H64" i="37"/>
  <c r="G64" i="37"/>
  <c r="F64" i="37"/>
  <c r="E64" i="37"/>
  <c r="B64" i="37"/>
  <c r="C64" i="37"/>
  <c r="J94" i="37"/>
  <c r="H65" i="37"/>
  <c r="G65" i="37"/>
  <c r="F65" i="37"/>
  <c r="E65" i="37"/>
  <c r="B65" i="37"/>
  <c r="C65" i="37"/>
  <c r="J95" i="37"/>
  <c r="H66" i="37"/>
  <c r="G66" i="37"/>
  <c r="F66" i="37"/>
  <c r="E66" i="37"/>
  <c r="B66" i="37"/>
  <c r="C66" i="37"/>
  <c r="J96" i="37"/>
  <c r="H67" i="37"/>
  <c r="G67" i="37"/>
  <c r="F67" i="37"/>
  <c r="E67" i="37"/>
  <c r="B67" i="37"/>
  <c r="C67" i="37"/>
  <c r="J97" i="37"/>
  <c r="H68" i="37"/>
  <c r="G68" i="37"/>
  <c r="F68" i="37"/>
  <c r="E68" i="37"/>
  <c r="B68" i="37"/>
  <c r="C68" i="37"/>
  <c r="J98" i="37"/>
  <c r="H69" i="37"/>
  <c r="G69" i="37"/>
  <c r="F69" i="37"/>
  <c r="E69" i="37"/>
  <c r="B69" i="37"/>
  <c r="C69" i="37"/>
  <c r="J99" i="37"/>
  <c r="H70" i="37"/>
  <c r="G70" i="37"/>
  <c r="F70" i="37"/>
  <c r="E70" i="37"/>
  <c r="B70" i="37"/>
  <c r="C70" i="37"/>
  <c r="J100" i="37"/>
  <c r="H71" i="37"/>
  <c r="G71" i="37"/>
  <c r="F71" i="37"/>
  <c r="E71" i="37"/>
  <c r="B71" i="37"/>
  <c r="C71" i="37"/>
  <c r="J101" i="37"/>
  <c r="H72" i="37"/>
  <c r="G72" i="37"/>
  <c r="F72" i="37"/>
  <c r="E72" i="37"/>
  <c r="B72" i="37"/>
  <c r="C72" i="37"/>
  <c r="J102" i="37"/>
  <c r="H73" i="37"/>
  <c r="G73" i="37"/>
  <c r="F73" i="37"/>
  <c r="E73" i="37"/>
  <c r="B73" i="37"/>
  <c r="C73" i="37"/>
  <c r="J103" i="37"/>
  <c r="H74" i="37"/>
  <c r="G74" i="37"/>
  <c r="F74" i="37"/>
  <c r="E74" i="37"/>
  <c r="B74" i="37"/>
  <c r="C74" i="37"/>
  <c r="J104" i="37"/>
  <c r="H75" i="37"/>
  <c r="G75" i="37"/>
  <c r="F75" i="37"/>
  <c r="E75" i="37"/>
  <c r="B75" i="37"/>
  <c r="C75" i="37"/>
  <c r="J105" i="37"/>
  <c r="H76" i="37"/>
  <c r="G76" i="37"/>
  <c r="F76" i="37"/>
  <c r="E76" i="37"/>
  <c r="B76" i="37"/>
  <c r="C76" i="37"/>
  <c r="J106" i="37"/>
  <c r="H77" i="37"/>
  <c r="G77" i="37"/>
  <c r="F77" i="37"/>
  <c r="E77" i="37"/>
  <c r="B77" i="37"/>
  <c r="C77" i="37"/>
  <c r="J107" i="37"/>
  <c r="H78" i="37"/>
  <c r="G78" i="37"/>
  <c r="F78" i="37"/>
  <c r="E78" i="37"/>
  <c r="B78" i="37"/>
  <c r="C78" i="37"/>
  <c r="J108" i="37"/>
  <c r="H79" i="37"/>
  <c r="G79" i="37"/>
  <c r="F79" i="37"/>
  <c r="E79" i="37"/>
  <c r="B79" i="37"/>
  <c r="C79" i="37"/>
  <c r="J109" i="37"/>
  <c r="H80" i="37"/>
  <c r="G80" i="37"/>
  <c r="F80" i="37"/>
  <c r="E80" i="37"/>
  <c r="B80" i="37"/>
  <c r="C80" i="37"/>
  <c r="J110" i="37"/>
  <c r="H81" i="37"/>
  <c r="G81" i="37"/>
  <c r="F81" i="37"/>
  <c r="E81" i="37"/>
  <c r="B81" i="37"/>
  <c r="C81" i="37"/>
  <c r="J111" i="37"/>
  <c r="H82" i="37"/>
  <c r="G82" i="37"/>
  <c r="F82" i="37"/>
  <c r="E82" i="37"/>
  <c r="B82" i="37"/>
  <c r="C82" i="37"/>
  <c r="J112" i="37"/>
  <c r="H83" i="37"/>
  <c r="G83" i="37"/>
  <c r="F83" i="37"/>
  <c r="E83" i="37"/>
  <c r="B83" i="37"/>
  <c r="C83" i="37"/>
  <c r="J113" i="37"/>
  <c r="H84" i="37"/>
  <c r="G84" i="37"/>
  <c r="F84" i="37"/>
  <c r="E84" i="37"/>
  <c r="B84" i="37"/>
  <c r="C84" i="37"/>
  <c r="J114" i="37"/>
  <c r="H85" i="37"/>
  <c r="G85" i="37"/>
  <c r="F85" i="37"/>
  <c r="E85" i="37"/>
  <c r="B85" i="37"/>
  <c r="C85" i="37"/>
  <c r="J115" i="37"/>
  <c r="H86" i="37"/>
  <c r="G86" i="37"/>
  <c r="F86" i="37"/>
  <c r="E86" i="37"/>
  <c r="B86" i="37"/>
  <c r="C86" i="37"/>
  <c r="J116" i="37"/>
  <c r="H87" i="37"/>
  <c r="G87" i="37"/>
  <c r="F87" i="37"/>
  <c r="E87" i="37"/>
  <c r="B87" i="37"/>
  <c r="C87" i="37"/>
  <c r="J117" i="37"/>
  <c r="H88" i="37"/>
  <c r="G88" i="37"/>
  <c r="F88" i="37"/>
  <c r="E88" i="37"/>
  <c r="B88" i="37"/>
  <c r="C88" i="37"/>
  <c r="J118" i="37"/>
  <c r="H89" i="37"/>
  <c r="G89" i="37"/>
  <c r="F89" i="37"/>
  <c r="E89" i="37"/>
  <c r="B89" i="37"/>
  <c r="C89" i="37"/>
  <c r="J119" i="37"/>
  <c r="H90" i="37"/>
  <c r="G90" i="37"/>
  <c r="F90" i="37"/>
  <c r="E90" i="37"/>
  <c r="B90" i="37"/>
  <c r="C90" i="37"/>
  <c r="J120" i="37"/>
  <c r="H91" i="37"/>
  <c r="G91" i="37"/>
  <c r="F91" i="37"/>
  <c r="E91" i="37"/>
  <c r="B91" i="37"/>
  <c r="C91" i="37"/>
  <c r="J121" i="37"/>
  <c r="H92" i="37"/>
  <c r="G92" i="37"/>
  <c r="F92" i="37"/>
  <c r="E92" i="37"/>
  <c r="B92" i="37"/>
  <c r="C92" i="37"/>
  <c r="J122" i="37"/>
  <c r="H93" i="37"/>
  <c r="G93" i="37"/>
  <c r="F93" i="37"/>
  <c r="E93" i="37"/>
  <c r="B93" i="37"/>
  <c r="C93" i="37"/>
  <c r="J123" i="37"/>
  <c r="H94" i="37"/>
  <c r="G94" i="37"/>
  <c r="F94" i="37"/>
  <c r="E94" i="37"/>
  <c r="B94" i="37"/>
  <c r="C94" i="37"/>
  <c r="J124" i="37"/>
  <c r="H95" i="37"/>
  <c r="G95" i="37"/>
  <c r="F95" i="37"/>
  <c r="E95" i="37"/>
  <c r="B95" i="37"/>
  <c r="C95" i="37"/>
  <c r="J125" i="37"/>
  <c r="H96" i="37"/>
  <c r="G96" i="37"/>
  <c r="F96" i="37"/>
  <c r="E96" i="37"/>
  <c r="B96" i="37"/>
  <c r="C96" i="37"/>
  <c r="J126" i="37"/>
  <c r="H97" i="37"/>
  <c r="G97" i="37"/>
  <c r="F97" i="37"/>
  <c r="E97" i="37"/>
  <c r="B97" i="37"/>
  <c r="C97" i="37"/>
  <c r="J127" i="37"/>
  <c r="H98" i="37"/>
  <c r="G98" i="37"/>
  <c r="F98" i="37"/>
  <c r="E98" i="37"/>
  <c r="B98" i="37"/>
  <c r="C98" i="37"/>
  <c r="J128" i="37"/>
  <c r="H99" i="37"/>
  <c r="G99" i="37"/>
  <c r="F99" i="37"/>
  <c r="E99" i="37"/>
  <c r="B99" i="37"/>
  <c r="C99" i="37"/>
  <c r="J129" i="37"/>
  <c r="H100" i="37"/>
  <c r="G100" i="37"/>
  <c r="F100" i="37"/>
  <c r="E100" i="37"/>
  <c r="B100" i="37"/>
  <c r="C100" i="37"/>
  <c r="J130" i="37"/>
  <c r="H101" i="37"/>
  <c r="G101" i="37"/>
  <c r="F101" i="37"/>
  <c r="E101" i="37"/>
  <c r="B101" i="37"/>
  <c r="C101" i="37"/>
  <c r="J131" i="37"/>
  <c r="H102" i="37"/>
  <c r="G102" i="37"/>
  <c r="F102" i="37"/>
  <c r="E102" i="37"/>
  <c r="B102" i="37"/>
  <c r="C102" i="37"/>
  <c r="J132" i="37"/>
  <c r="H103" i="37"/>
  <c r="G103" i="37"/>
  <c r="F103" i="37"/>
  <c r="E103" i="37"/>
  <c r="B103" i="37"/>
  <c r="C103" i="37"/>
  <c r="J133" i="37"/>
  <c r="H104" i="37"/>
  <c r="G104" i="37"/>
  <c r="F104" i="37"/>
  <c r="E104" i="37"/>
  <c r="B104" i="37"/>
  <c r="C104" i="37"/>
  <c r="J134" i="37"/>
  <c r="H105" i="37"/>
  <c r="G105" i="37"/>
  <c r="F105" i="37"/>
  <c r="E105" i="37"/>
  <c r="B105" i="37"/>
  <c r="C105" i="37"/>
  <c r="J135" i="37"/>
  <c r="H106" i="37"/>
  <c r="G106" i="37"/>
  <c r="F106" i="37"/>
  <c r="E106" i="37"/>
  <c r="B106" i="37"/>
  <c r="C106" i="37"/>
  <c r="J136" i="37"/>
  <c r="H107" i="37"/>
  <c r="G107" i="37"/>
  <c r="F107" i="37"/>
  <c r="E107" i="37"/>
  <c r="B107" i="37"/>
  <c r="C107" i="37"/>
  <c r="J137" i="37"/>
  <c r="H108" i="37"/>
  <c r="G108" i="37"/>
  <c r="F108" i="37"/>
  <c r="E108" i="37"/>
  <c r="B108" i="37"/>
  <c r="C108" i="37"/>
  <c r="J138" i="37"/>
  <c r="H109" i="37"/>
  <c r="G109" i="37"/>
  <c r="F109" i="37"/>
  <c r="E109" i="37"/>
  <c r="B109" i="37"/>
  <c r="C109" i="37"/>
  <c r="J139" i="37"/>
  <c r="H110" i="37"/>
  <c r="G110" i="37"/>
  <c r="F110" i="37"/>
  <c r="E110" i="37"/>
  <c r="B110" i="37"/>
  <c r="C110" i="37"/>
  <c r="J140" i="37"/>
  <c r="H111" i="37"/>
  <c r="G111" i="37"/>
  <c r="F111" i="37"/>
  <c r="E111" i="37"/>
  <c r="B111" i="37"/>
  <c r="C111" i="37"/>
  <c r="J141" i="37"/>
  <c r="H112" i="37"/>
  <c r="G112" i="37"/>
  <c r="F112" i="37"/>
  <c r="E112" i="37"/>
  <c r="B112" i="37"/>
  <c r="C112" i="37"/>
  <c r="J142" i="37"/>
  <c r="H113" i="37"/>
  <c r="G113" i="37"/>
  <c r="F113" i="37"/>
  <c r="E113" i="37"/>
  <c r="B113" i="37"/>
  <c r="C113" i="37"/>
  <c r="J143" i="37"/>
  <c r="H114" i="37"/>
  <c r="G114" i="37"/>
  <c r="F114" i="37"/>
  <c r="E114" i="37"/>
  <c r="B114" i="37"/>
  <c r="C114" i="37"/>
  <c r="J144" i="37"/>
  <c r="H115" i="37"/>
  <c r="G115" i="37"/>
  <c r="F115" i="37"/>
  <c r="E115" i="37"/>
  <c r="B115" i="37"/>
  <c r="C115" i="37"/>
  <c r="J145" i="37"/>
  <c r="H116" i="37"/>
  <c r="G116" i="37"/>
  <c r="F116" i="37"/>
  <c r="E116" i="37"/>
  <c r="B116" i="37"/>
  <c r="C116" i="37"/>
  <c r="J146" i="37"/>
  <c r="H117" i="37"/>
  <c r="G117" i="37"/>
  <c r="F117" i="37"/>
  <c r="E117" i="37"/>
  <c r="B117" i="37"/>
  <c r="C117" i="37"/>
  <c r="J147" i="37"/>
  <c r="H118" i="37"/>
  <c r="G118" i="37"/>
  <c r="F118" i="37"/>
  <c r="E118" i="37"/>
  <c r="B118" i="37"/>
  <c r="C118" i="37"/>
  <c r="J148" i="37"/>
  <c r="H119" i="37"/>
  <c r="G119" i="37"/>
  <c r="F119" i="37"/>
  <c r="E119" i="37"/>
  <c r="B119" i="37"/>
  <c r="C119" i="37"/>
  <c r="J149" i="37"/>
  <c r="H120" i="37"/>
  <c r="G120" i="37"/>
  <c r="F120" i="37"/>
  <c r="E120" i="37"/>
  <c r="B120" i="37"/>
  <c r="C120" i="37"/>
  <c r="J150" i="37"/>
  <c r="H121" i="37"/>
  <c r="G121" i="37"/>
  <c r="F121" i="37"/>
  <c r="E121" i="37"/>
  <c r="B121" i="37"/>
  <c r="C121" i="37"/>
  <c r="J151" i="37"/>
  <c r="H122" i="37"/>
  <c r="G122" i="37"/>
  <c r="F122" i="37"/>
  <c r="E122" i="37"/>
  <c r="B122" i="37"/>
  <c r="C122" i="37"/>
  <c r="J152" i="37"/>
  <c r="H123" i="37"/>
  <c r="G123" i="37"/>
  <c r="F123" i="37"/>
  <c r="E123" i="37"/>
  <c r="B123" i="37"/>
  <c r="C123" i="37"/>
  <c r="J153" i="37"/>
  <c r="H124" i="37"/>
  <c r="G124" i="37"/>
  <c r="F124" i="37"/>
  <c r="E124" i="37"/>
  <c r="B124" i="37"/>
  <c r="C124" i="37"/>
  <c r="J154" i="37"/>
  <c r="H125" i="37"/>
  <c r="G125" i="37"/>
  <c r="F125" i="37"/>
  <c r="E125" i="37"/>
  <c r="B125" i="37"/>
  <c r="C125" i="37"/>
  <c r="J155" i="37"/>
  <c r="H126" i="37"/>
  <c r="G126" i="37"/>
  <c r="F126" i="37"/>
  <c r="E126" i="37"/>
  <c r="B126" i="37"/>
  <c r="C126" i="37"/>
  <c r="J156" i="37"/>
  <c r="H127" i="37"/>
  <c r="G127" i="37"/>
  <c r="F127" i="37"/>
  <c r="E127" i="37"/>
  <c r="B127" i="37"/>
  <c r="C127" i="37"/>
  <c r="J157" i="37"/>
  <c r="H128" i="37"/>
  <c r="G128" i="37"/>
  <c r="F128" i="37"/>
  <c r="E128" i="37"/>
  <c r="B128" i="37"/>
  <c r="C128" i="37"/>
  <c r="J158" i="37"/>
  <c r="H129" i="37"/>
  <c r="G129" i="37"/>
  <c r="F129" i="37"/>
  <c r="E129" i="37"/>
  <c r="B129" i="37"/>
  <c r="C129" i="37"/>
  <c r="J159" i="37"/>
  <c r="H130" i="37"/>
  <c r="G130" i="37"/>
  <c r="F130" i="37"/>
  <c r="E130" i="37"/>
  <c r="B130" i="37"/>
  <c r="C130" i="37"/>
  <c r="J160" i="37"/>
  <c r="H131" i="37"/>
  <c r="G131" i="37"/>
  <c r="F131" i="37"/>
  <c r="E131" i="37"/>
  <c r="B131" i="37"/>
  <c r="C131" i="37"/>
  <c r="J161" i="37"/>
  <c r="H132" i="37"/>
  <c r="G132" i="37"/>
  <c r="F132" i="37"/>
  <c r="E132" i="37"/>
  <c r="B132" i="37"/>
  <c r="C132" i="37"/>
  <c r="J162" i="37"/>
  <c r="H133" i="37"/>
  <c r="G133" i="37"/>
  <c r="F133" i="37"/>
  <c r="E133" i="37"/>
  <c r="B133" i="37"/>
  <c r="C133" i="37"/>
  <c r="J163" i="37"/>
  <c r="H134" i="37"/>
  <c r="G134" i="37"/>
  <c r="F134" i="37"/>
  <c r="E134" i="37"/>
  <c r="B134" i="37"/>
  <c r="C134" i="37"/>
  <c r="J164" i="37"/>
  <c r="H135" i="37"/>
  <c r="G135" i="37"/>
  <c r="F135" i="37"/>
  <c r="E135" i="37"/>
  <c r="B135" i="37"/>
  <c r="C135" i="37"/>
  <c r="J165" i="37"/>
  <c r="H136" i="37"/>
  <c r="G136" i="37"/>
  <c r="F136" i="37"/>
  <c r="E136" i="37"/>
  <c r="B136" i="37"/>
  <c r="C136" i="37"/>
  <c r="J166" i="37"/>
  <c r="H137" i="37"/>
  <c r="G137" i="37"/>
  <c r="F137" i="37"/>
  <c r="E137" i="37"/>
  <c r="B137" i="37"/>
  <c r="C137" i="37"/>
  <c r="J167" i="37"/>
  <c r="H138" i="37"/>
  <c r="G138" i="37"/>
  <c r="F138" i="37"/>
  <c r="E138" i="37"/>
  <c r="B138" i="37"/>
  <c r="C138" i="37"/>
  <c r="J168" i="37"/>
  <c r="H139" i="37"/>
  <c r="G139" i="37"/>
  <c r="F139" i="37"/>
  <c r="E139" i="37"/>
  <c r="B139" i="37"/>
  <c r="C139" i="37"/>
  <c r="J169" i="37"/>
  <c r="H140" i="37"/>
  <c r="G140" i="37"/>
  <c r="F140" i="37"/>
  <c r="E140" i="37"/>
  <c r="B140" i="37"/>
  <c r="C140" i="37"/>
  <c r="J170" i="37"/>
  <c r="H141" i="37"/>
  <c r="G141" i="37"/>
  <c r="F141" i="37"/>
  <c r="E141" i="37"/>
  <c r="B141" i="37"/>
  <c r="C141" i="37"/>
  <c r="J171" i="37"/>
  <c r="H142" i="37"/>
  <c r="G142" i="37"/>
  <c r="F142" i="37"/>
  <c r="E142" i="37"/>
  <c r="B142" i="37"/>
  <c r="C142" i="37"/>
  <c r="J172" i="37"/>
  <c r="H143" i="37"/>
  <c r="G143" i="37"/>
  <c r="F143" i="37"/>
  <c r="E143" i="37"/>
  <c r="B143" i="37"/>
  <c r="C143" i="37"/>
  <c r="J173" i="37"/>
  <c r="H144" i="37"/>
  <c r="G144" i="37"/>
  <c r="F144" i="37"/>
  <c r="E144" i="37"/>
  <c r="B144" i="37"/>
  <c r="C144" i="37"/>
  <c r="J174" i="37"/>
  <c r="H145" i="37"/>
  <c r="G145" i="37"/>
  <c r="F145" i="37"/>
  <c r="E145" i="37"/>
  <c r="B145" i="37"/>
  <c r="C145" i="37"/>
  <c r="J175" i="37"/>
  <c r="H146" i="37"/>
  <c r="G146" i="37"/>
  <c r="F146" i="37"/>
  <c r="E146" i="37"/>
  <c r="B146" i="37"/>
  <c r="C146" i="37"/>
  <c r="J176" i="37"/>
  <c r="H147" i="37"/>
  <c r="G147" i="37"/>
  <c r="F147" i="37"/>
  <c r="E147" i="37"/>
  <c r="B147" i="37"/>
  <c r="C147" i="37"/>
  <c r="J177" i="37"/>
  <c r="H148" i="37"/>
  <c r="G148" i="37"/>
  <c r="F148" i="37"/>
  <c r="E148" i="37"/>
  <c r="B148" i="37"/>
  <c r="C148" i="37"/>
  <c r="J178" i="37"/>
  <c r="H149" i="37"/>
  <c r="G149" i="37"/>
  <c r="F149" i="37"/>
  <c r="E149" i="37"/>
  <c r="B149" i="37"/>
  <c r="C149" i="37"/>
  <c r="J179" i="37"/>
  <c r="H150" i="37"/>
  <c r="G150" i="37"/>
  <c r="F150" i="37"/>
  <c r="E150" i="37"/>
  <c r="B150" i="37"/>
  <c r="C150" i="37"/>
  <c r="J180" i="37"/>
  <c r="H151" i="37"/>
  <c r="G151" i="37"/>
  <c r="F151" i="37"/>
  <c r="E151" i="37"/>
  <c r="B151" i="37"/>
  <c r="C151" i="37"/>
  <c r="J181" i="37"/>
  <c r="H152" i="37"/>
  <c r="G152" i="37"/>
  <c r="F152" i="37"/>
  <c r="E152" i="37"/>
  <c r="B152" i="37"/>
  <c r="C152" i="37"/>
  <c r="J182" i="37"/>
  <c r="H153" i="37"/>
  <c r="G153" i="37"/>
  <c r="F153" i="37"/>
  <c r="E153" i="37"/>
  <c r="B153" i="37"/>
  <c r="C153" i="37"/>
  <c r="J183" i="37"/>
  <c r="H154" i="37"/>
  <c r="G154" i="37"/>
  <c r="F154" i="37"/>
  <c r="E154" i="37"/>
  <c r="B154" i="37"/>
  <c r="C154" i="37"/>
  <c r="J184" i="37"/>
  <c r="H155" i="37"/>
  <c r="G155" i="37"/>
  <c r="F155" i="37"/>
  <c r="E155" i="37"/>
  <c r="B155" i="37"/>
  <c r="C155" i="37"/>
  <c r="J185" i="37"/>
  <c r="H156" i="37"/>
  <c r="G156" i="37"/>
  <c r="F156" i="37"/>
  <c r="E156" i="37"/>
  <c r="B156" i="37"/>
  <c r="C156" i="37"/>
  <c r="J186" i="37"/>
  <c r="H157" i="37"/>
  <c r="G157" i="37"/>
  <c r="F157" i="37"/>
  <c r="E157" i="37"/>
  <c r="B157" i="37"/>
  <c r="C157" i="37"/>
  <c r="J187" i="37"/>
  <c r="H158" i="37"/>
  <c r="G158" i="37"/>
  <c r="F158" i="37"/>
  <c r="E158" i="37"/>
  <c r="B158" i="37"/>
  <c r="C158" i="37"/>
  <c r="J188" i="37"/>
  <c r="H159" i="37"/>
  <c r="G159" i="37"/>
  <c r="F159" i="37"/>
  <c r="E159" i="37"/>
  <c r="B159" i="37"/>
  <c r="C159" i="37"/>
  <c r="J189" i="37"/>
  <c r="H160" i="37"/>
  <c r="G160" i="37"/>
  <c r="F160" i="37"/>
  <c r="E160" i="37"/>
  <c r="B160" i="37"/>
  <c r="C160" i="37"/>
  <c r="J190" i="37"/>
  <c r="H161" i="37"/>
  <c r="G161" i="37"/>
  <c r="F161" i="37"/>
  <c r="E161" i="37"/>
  <c r="B161" i="37"/>
  <c r="C161" i="37"/>
  <c r="J191" i="37"/>
  <c r="H162" i="37"/>
  <c r="G162" i="37"/>
  <c r="F162" i="37"/>
  <c r="E162" i="37"/>
  <c r="B162" i="37"/>
  <c r="C162" i="37"/>
  <c r="J192" i="37"/>
  <c r="H163" i="37"/>
  <c r="G163" i="37"/>
  <c r="F163" i="37"/>
  <c r="E163" i="37"/>
  <c r="B163" i="37"/>
  <c r="C163" i="37"/>
  <c r="J193" i="37"/>
  <c r="H164" i="37"/>
  <c r="G164" i="37"/>
  <c r="F164" i="37"/>
  <c r="E164" i="37"/>
  <c r="B164" i="37"/>
  <c r="C164" i="37"/>
  <c r="J194" i="37"/>
  <c r="H165" i="37"/>
  <c r="G165" i="37"/>
  <c r="F165" i="37"/>
  <c r="E165" i="37"/>
  <c r="B165" i="37"/>
  <c r="C165" i="37"/>
  <c r="J195" i="37"/>
  <c r="H166" i="37"/>
  <c r="G166" i="37"/>
  <c r="F166" i="37"/>
  <c r="E166" i="37"/>
  <c r="B166" i="37"/>
  <c r="C166" i="37"/>
  <c r="J196" i="37"/>
  <c r="H167" i="37"/>
  <c r="G167" i="37"/>
  <c r="F167" i="37"/>
  <c r="E167" i="37"/>
  <c r="B167" i="37"/>
  <c r="C167" i="37"/>
  <c r="J197" i="37"/>
  <c r="H168" i="37"/>
  <c r="G168" i="37"/>
  <c r="F168" i="37"/>
  <c r="E168" i="37"/>
  <c r="B168" i="37"/>
  <c r="C168" i="37"/>
  <c r="J198" i="37"/>
  <c r="H169" i="37"/>
  <c r="G169" i="37"/>
  <c r="F169" i="37"/>
  <c r="E169" i="37"/>
  <c r="B169" i="37"/>
  <c r="C169" i="37"/>
  <c r="J199" i="37"/>
  <c r="H170" i="37"/>
  <c r="G170" i="37"/>
  <c r="F170" i="37"/>
  <c r="E170" i="37"/>
  <c r="B170" i="37"/>
  <c r="C170" i="37"/>
  <c r="J200" i="37"/>
  <c r="H171" i="37"/>
  <c r="G171" i="37"/>
  <c r="F171" i="37"/>
  <c r="E171" i="37"/>
  <c r="B171" i="37"/>
  <c r="C171" i="37"/>
  <c r="J201" i="37"/>
  <c r="H172" i="37"/>
  <c r="G172" i="37"/>
  <c r="F172" i="37"/>
  <c r="E172" i="37"/>
  <c r="B172" i="37"/>
  <c r="C172" i="37"/>
  <c r="J202" i="37"/>
  <c r="H173" i="37"/>
  <c r="G173" i="37"/>
  <c r="F173" i="37"/>
  <c r="E173" i="37"/>
  <c r="B173" i="37"/>
  <c r="C173" i="37"/>
  <c r="J203" i="37"/>
  <c r="H174" i="37"/>
  <c r="G174" i="37"/>
  <c r="F174" i="37"/>
  <c r="E174" i="37"/>
  <c r="B174" i="37"/>
  <c r="C174" i="37"/>
  <c r="J204" i="37"/>
  <c r="H175" i="37"/>
  <c r="G175" i="37"/>
  <c r="F175" i="37"/>
  <c r="E175" i="37"/>
  <c r="B175" i="37"/>
  <c r="C175" i="37"/>
  <c r="J205" i="37"/>
  <c r="H176" i="37"/>
  <c r="G176" i="37"/>
  <c r="F176" i="37"/>
  <c r="E176" i="37"/>
  <c r="B176" i="37"/>
  <c r="C176" i="37"/>
  <c r="J206" i="37"/>
  <c r="H177" i="37"/>
  <c r="G177" i="37"/>
  <c r="F177" i="37"/>
  <c r="E177" i="37"/>
  <c r="B177" i="37"/>
  <c r="C177" i="37"/>
  <c r="J207" i="37"/>
  <c r="H178" i="37"/>
  <c r="G178" i="37"/>
  <c r="F178" i="37"/>
  <c r="E178" i="37"/>
  <c r="B178" i="37"/>
  <c r="C178" i="37"/>
  <c r="J208" i="37"/>
  <c r="H179" i="37"/>
  <c r="G179" i="37"/>
  <c r="F179" i="37"/>
  <c r="E179" i="37"/>
  <c r="B179" i="37"/>
  <c r="C179" i="37"/>
  <c r="J209" i="37"/>
  <c r="H180" i="37"/>
  <c r="G180" i="37"/>
  <c r="F180" i="37"/>
  <c r="E180" i="37"/>
  <c r="B180" i="37"/>
  <c r="C180" i="37"/>
  <c r="J210" i="37"/>
  <c r="H181" i="37"/>
  <c r="G181" i="37"/>
  <c r="F181" i="37"/>
  <c r="E181" i="37"/>
  <c r="B181" i="37"/>
  <c r="C181" i="37"/>
  <c r="J211" i="37"/>
  <c r="H182" i="37"/>
  <c r="G182" i="37"/>
  <c r="F182" i="37"/>
  <c r="E182" i="37"/>
  <c r="B182" i="37"/>
  <c r="C182" i="37"/>
  <c r="J212" i="37"/>
  <c r="H183" i="37"/>
  <c r="G183" i="37"/>
  <c r="F183" i="37"/>
  <c r="E183" i="37"/>
  <c r="B183" i="37"/>
  <c r="C183" i="37"/>
  <c r="J213" i="37"/>
  <c r="H184" i="37"/>
  <c r="G184" i="37"/>
  <c r="F184" i="37"/>
  <c r="E184" i="37"/>
  <c r="B184" i="37"/>
  <c r="C184" i="37"/>
  <c r="J214" i="37"/>
  <c r="H185" i="37"/>
  <c r="G185" i="37"/>
  <c r="F185" i="37"/>
  <c r="E185" i="37"/>
  <c r="B185" i="37"/>
  <c r="C185" i="37"/>
  <c r="J215" i="37"/>
  <c r="H186" i="37"/>
  <c r="G186" i="37"/>
  <c r="F186" i="37"/>
  <c r="E186" i="37"/>
  <c r="B186" i="37"/>
  <c r="C186" i="37"/>
  <c r="J216" i="37"/>
  <c r="H187" i="37"/>
  <c r="G187" i="37"/>
  <c r="F187" i="37"/>
  <c r="E187" i="37"/>
  <c r="B187" i="37"/>
  <c r="C187" i="37"/>
  <c r="J217" i="37"/>
  <c r="H188" i="37"/>
  <c r="G188" i="37"/>
  <c r="F188" i="37"/>
  <c r="E188" i="37"/>
  <c r="B188" i="37"/>
  <c r="C188" i="37"/>
  <c r="J218" i="37"/>
  <c r="H189" i="37"/>
  <c r="G189" i="37"/>
  <c r="F189" i="37"/>
  <c r="E189" i="37"/>
  <c r="B189" i="37"/>
  <c r="C189" i="37"/>
  <c r="J219" i="37"/>
  <c r="H190" i="37"/>
  <c r="G190" i="37"/>
  <c r="F190" i="37"/>
  <c r="E190" i="37"/>
  <c r="B190" i="37"/>
  <c r="C190" i="37"/>
  <c r="J220" i="37"/>
  <c r="H191" i="37"/>
  <c r="G191" i="37"/>
  <c r="F191" i="37"/>
  <c r="E191" i="37"/>
  <c r="B191" i="37"/>
  <c r="C191" i="37"/>
  <c r="J221" i="37"/>
  <c r="H192" i="37"/>
  <c r="G192" i="37"/>
  <c r="F192" i="37"/>
  <c r="E192" i="37"/>
  <c r="B192" i="37"/>
  <c r="C192" i="37"/>
  <c r="J222" i="37"/>
  <c r="H193" i="37"/>
  <c r="G193" i="37"/>
  <c r="F193" i="37"/>
  <c r="E193" i="37"/>
  <c r="B193" i="37"/>
  <c r="C193" i="37"/>
  <c r="J223" i="37"/>
  <c r="H194" i="37"/>
  <c r="G194" i="37"/>
  <c r="F194" i="37"/>
  <c r="E194" i="37"/>
  <c r="B194" i="37"/>
  <c r="C194" i="37"/>
  <c r="J224" i="37"/>
  <c r="H195" i="37"/>
  <c r="G195" i="37"/>
  <c r="F195" i="37"/>
  <c r="E195" i="37"/>
  <c r="B195" i="37"/>
  <c r="C195" i="37"/>
  <c r="J225" i="37"/>
  <c r="H196" i="37"/>
  <c r="G196" i="37"/>
  <c r="F196" i="37"/>
  <c r="E196" i="37"/>
  <c r="B196" i="37"/>
  <c r="C196" i="37"/>
  <c r="J226" i="37"/>
  <c r="H197" i="37"/>
  <c r="G197" i="37"/>
  <c r="F197" i="37"/>
  <c r="E197" i="37"/>
  <c r="B197" i="37"/>
  <c r="C197" i="37"/>
  <c r="J227" i="37"/>
  <c r="H198" i="37"/>
  <c r="G198" i="37"/>
  <c r="F198" i="37"/>
  <c r="E198" i="37"/>
  <c r="B198" i="37"/>
  <c r="C198" i="37"/>
  <c r="J228" i="37"/>
  <c r="H199" i="37"/>
  <c r="G199" i="37"/>
  <c r="F199" i="37"/>
  <c r="E199" i="37"/>
  <c r="B199" i="37"/>
  <c r="C199" i="37"/>
  <c r="J229" i="37"/>
  <c r="H200" i="37"/>
  <c r="G200" i="37"/>
  <c r="F200" i="37"/>
  <c r="E200" i="37"/>
  <c r="B200" i="37"/>
  <c r="C200" i="37"/>
  <c r="J230" i="37"/>
  <c r="H201" i="37"/>
  <c r="G201" i="37"/>
  <c r="F201" i="37"/>
  <c r="E201" i="37"/>
  <c r="B201" i="37"/>
  <c r="C201" i="37"/>
  <c r="J231" i="37"/>
  <c r="H202" i="37"/>
  <c r="G202" i="37"/>
  <c r="F202" i="37"/>
  <c r="E202" i="37"/>
  <c r="B202" i="37"/>
  <c r="C202" i="37"/>
  <c r="J232" i="37"/>
  <c r="H203" i="37"/>
  <c r="G203" i="37"/>
  <c r="F203" i="37"/>
  <c r="E203" i="37"/>
  <c r="B203" i="37"/>
  <c r="C203" i="37"/>
  <c r="J233" i="37"/>
  <c r="H204" i="37"/>
  <c r="G204" i="37"/>
  <c r="F204" i="37"/>
  <c r="E204" i="37"/>
  <c r="B204" i="37"/>
  <c r="C204" i="37"/>
  <c r="J234" i="37"/>
  <c r="H205" i="37"/>
  <c r="G205" i="37"/>
  <c r="F205" i="37"/>
  <c r="E205" i="37"/>
  <c r="B205" i="37"/>
  <c r="C205" i="37"/>
  <c r="J235" i="37"/>
  <c r="H206" i="37"/>
  <c r="G206" i="37"/>
  <c r="F206" i="37"/>
  <c r="E206" i="37"/>
  <c r="B206" i="37"/>
  <c r="C206" i="37"/>
  <c r="J236" i="37"/>
  <c r="H207" i="37"/>
  <c r="G207" i="37"/>
  <c r="F207" i="37"/>
  <c r="E207" i="37"/>
  <c r="B207" i="37"/>
  <c r="C207" i="37"/>
  <c r="J237" i="37"/>
  <c r="H208" i="37"/>
  <c r="G208" i="37"/>
  <c r="F208" i="37"/>
  <c r="E208" i="37"/>
  <c r="B208" i="37"/>
  <c r="C208" i="37"/>
  <c r="J238" i="37"/>
  <c r="H209" i="37"/>
  <c r="G209" i="37"/>
  <c r="F209" i="37"/>
  <c r="E209" i="37"/>
  <c r="B209" i="37"/>
  <c r="C209" i="37"/>
  <c r="J239" i="37"/>
  <c r="H210" i="37"/>
  <c r="G210" i="37"/>
  <c r="F210" i="37"/>
  <c r="E210" i="37"/>
  <c r="B210" i="37"/>
  <c r="C210" i="37"/>
  <c r="J240" i="37"/>
  <c r="H211" i="37"/>
  <c r="G211" i="37"/>
  <c r="F211" i="37"/>
  <c r="E211" i="37"/>
  <c r="B211" i="37"/>
  <c r="C211" i="37"/>
  <c r="J241" i="37"/>
  <c r="H212" i="37"/>
  <c r="G212" i="37"/>
  <c r="F212" i="37"/>
  <c r="E212" i="37"/>
  <c r="B212" i="37"/>
  <c r="C212" i="37"/>
  <c r="J242" i="37"/>
  <c r="H213" i="37"/>
  <c r="G213" i="37"/>
  <c r="F213" i="37"/>
  <c r="E213" i="37"/>
  <c r="B213" i="37"/>
  <c r="C213" i="37"/>
  <c r="J243" i="37"/>
  <c r="H214" i="37"/>
  <c r="G214" i="37"/>
  <c r="F214" i="37"/>
  <c r="E214" i="37"/>
  <c r="B214" i="37"/>
  <c r="C214" i="37"/>
  <c r="J244" i="37"/>
  <c r="H215" i="37"/>
  <c r="G215" i="37"/>
  <c r="F215" i="37"/>
  <c r="E215" i="37"/>
  <c r="B215" i="37"/>
  <c r="C215" i="37"/>
  <c r="J245" i="37"/>
  <c r="H216" i="37"/>
  <c r="G216" i="37"/>
  <c r="F216" i="37"/>
  <c r="E216" i="37"/>
  <c r="B216" i="37"/>
  <c r="C216" i="37"/>
  <c r="J246" i="37"/>
  <c r="H217" i="37"/>
  <c r="G217" i="37"/>
  <c r="F217" i="37"/>
  <c r="E217" i="37"/>
  <c r="B217" i="37"/>
  <c r="C217" i="37"/>
  <c r="J247" i="37"/>
  <c r="H218" i="37"/>
  <c r="G218" i="37"/>
  <c r="F218" i="37"/>
  <c r="E218" i="37"/>
  <c r="B218" i="37"/>
  <c r="C218" i="37"/>
  <c r="J248" i="37"/>
  <c r="H219" i="37"/>
  <c r="G219" i="37"/>
  <c r="F219" i="37"/>
  <c r="E219" i="37"/>
  <c r="B219" i="37"/>
  <c r="C219" i="37"/>
  <c r="J249" i="37"/>
  <c r="H220" i="37"/>
  <c r="G220" i="37"/>
  <c r="F220" i="37"/>
  <c r="E220" i="37"/>
  <c r="B220" i="37"/>
  <c r="C220" i="37"/>
  <c r="J250" i="37"/>
  <c r="H221" i="37"/>
  <c r="G221" i="37"/>
  <c r="F221" i="37"/>
  <c r="E221" i="37"/>
  <c r="B221" i="37"/>
  <c r="C221" i="37"/>
  <c r="J251" i="37"/>
  <c r="H222" i="37"/>
  <c r="G222" i="37"/>
  <c r="F222" i="37"/>
  <c r="E222" i="37"/>
  <c r="B222" i="37"/>
  <c r="C222" i="37"/>
  <c r="J252" i="37"/>
  <c r="H223" i="37"/>
  <c r="G223" i="37"/>
  <c r="F223" i="37"/>
  <c r="E223" i="37"/>
  <c r="B223" i="37"/>
  <c r="C223" i="37"/>
  <c r="J253" i="37"/>
  <c r="H224" i="37"/>
  <c r="G224" i="37"/>
  <c r="F224" i="37"/>
  <c r="E224" i="37"/>
  <c r="B224" i="37"/>
  <c r="C224" i="37"/>
  <c r="J254" i="37"/>
  <c r="H225" i="37"/>
  <c r="G225" i="37"/>
  <c r="F225" i="37"/>
  <c r="E225" i="37"/>
  <c r="B225" i="37"/>
  <c r="C225" i="37"/>
  <c r="J255" i="37"/>
  <c r="H226" i="37"/>
  <c r="G226" i="37"/>
  <c r="F226" i="37"/>
  <c r="E226" i="37"/>
  <c r="B226" i="37"/>
  <c r="C226" i="37"/>
  <c r="J256" i="37"/>
  <c r="H227" i="37"/>
  <c r="G227" i="37"/>
  <c r="F227" i="37"/>
  <c r="E227" i="37"/>
  <c r="B227" i="37"/>
  <c r="C227" i="37"/>
  <c r="J257" i="37"/>
  <c r="H228" i="37"/>
  <c r="G228" i="37"/>
  <c r="F228" i="37"/>
  <c r="E228" i="37"/>
  <c r="B228" i="37"/>
  <c r="C228" i="37"/>
  <c r="J258" i="37"/>
  <c r="H229" i="37"/>
  <c r="G229" i="37"/>
  <c r="F229" i="37"/>
  <c r="E229" i="37"/>
  <c r="B229" i="37"/>
  <c r="C229" i="37"/>
  <c r="J259" i="37"/>
  <c r="H230" i="37"/>
  <c r="G230" i="37"/>
  <c r="F230" i="37"/>
  <c r="E230" i="37"/>
  <c r="B230" i="37"/>
  <c r="C230" i="37"/>
  <c r="J260" i="37"/>
  <c r="H231" i="37"/>
  <c r="G231" i="37"/>
  <c r="F231" i="37"/>
  <c r="E231" i="37"/>
  <c r="B231" i="37"/>
  <c r="C231" i="37"/>
  <c r="J261" i="37"/>
  <c r="H232" i="37"/>
  <c r="G232" i="37"/>
  <c r="F232" i="37"/>
  <c r="E232" i="37"/>
  <c r="B232" i="37"/>
  <c r="C232" i="37"/>
  <c r="J262" i="37"/>
  <c r="H233" i="37"/>
  <c r="G233" i="37"/>
  <c r="F233" i="37"/>
  <c r="E233" i="37"/>
  <c r="B233" i="37"/>
  <c r="C233" i="37"/>
  <c r="J263" i="37"/>
  <c r="H234" i="37"/>
  <c r="G234" i="37"/>
  <c r="F234" i="37"/>
  <c r="E234" i="37"/>
  <c r="B234" i="37"/>
  <c r="C234" i="37"/>
  <c r="J264" i="37"/>
  <c r="H235" i="37"/>
  <c r="G235" i="37"/>
  <c r="F235" i="37"/>
  <c r="E235" i="37"/>
  <c r="B235" i="37"/>
  <c r="C235" i="37"/>
  <c r="J265" i="37"/>
  <c r="H236" i="37"/>
  <c r="G236" i="37"/>
  <c r="F236" i="37"/>
  <c r="E236" i="37"/>
  <c r="B236" i="37"/>
  <c r="C236" i="37"/>
  <c r="J266" i="37"/>
  <c r="H237" i="37"/>
  <c r="G237" i="37"/>
  <c r="F237" i="37"/>
  <c r="E237" i="37"/>
  <c r="B237" i="37"/>
  <c r="C237" i="37"/>
  <c r="J267" i="37"/>
  <c r="H238" i="37"/>
  <c r="G238" i="37"/>
  <c r="F238" i="37"/>
  <c r="E238" i="37"/>
  <c r="B238" i="37"/>
  <c r="C238" i="37"/>
  <c r="J268" i="37"/>
  <c r="H239" i="37"/>
  <c r="G239" i="37"/>
  <c r="F239" i="37"/>
  <c r="E239" i="37"/>
  <c r="B239" i="37"/>
  <c r="C239" i="37"/>
  <c r="J269" i="37"/>
  <c r="H240" i="37"/>
  <c r="G240" i="37"/>
  <c r="F240" i="37"/>
  <c r="E240" i="37"/>
  <c r="B240" i="37"/>
  <c r="C240" i="37"/>
  <c r="J270" i="37"/>
  <c r="H241" i="37"/>
  <c r="G241" i="37"/>
  <c r="F241" i="37"/>
  <c r="E241" i="37"/>
  <c r="B241" i="37"/>
  <c r="C241" i="37"/>
  <c r="J271" i="37"/>
  <c r="H242" i="37"/>
  <c r="G242" i="37"/>
  <c r="F242" i="37"/>
  <c r="E242" i="37"/>
  <c r="B242" i="37"/>
  <c r="C242" i="37"/>
  <c r="J272" i="37"/>
  <c r="H243" i="37"/>
  <c r="G243" i="37"/>
  <c r="F243" i="37"/>
  <c r="E243" i="37"/>
  <c r="B243" i="37"/>
  <c r="C243" i="37"/>
  <c r="J273" i="37"/>
  <c r="H244" i="37"/>
  <c r="G244" i="37"/>
  <c r="F244" i="37"/>
  <c r="E244" i="37"/>
  <c r="B244" i="37"/>
  <c r="C244" i="37"/>
  <c r="J274" i="37"/>
  <c r="H245" i="37"/>
  <c r="G245" i="37"/>
  <c r="F245" i="37"/>
  <c r="E245" i="37"/>
  <c r="B245" i="37"/>
  <c r="C245" i="37"/>
  <c r="J275" i="37"/>
  <c r="H246" i="37"/>
  <c r="G246" i="37"/>
  <c r="F246" i="37"/>
  <c r="E246" i="37"/>
  <c r="B246" i="37"/>
  <c r="C246" i="37"/>
  <c r="J276" i="37"/>
  <c r="H247" i="37"/>
  <c r="G247" i="37"/>
  <c r="F247" i="37"/>
  <c r="E247" i="37"/>
  <c r="B247" i="37"/>
  <c r="C247" i="37"/>
  <c r="J277" i="37"/>
  <c r="H248" i="37"/>
  <c r="G248" i="37"/>
  <c r="F248" i="37"/>
  <c r="E248" i="37"/>
  <c r="B248" i="37"/>
  <c r="C248" i="37"/>
  <c r="J278" i="37"/>
  <c r="H249" i="37"/>
  <c r="G249" i="37"/>
  <c r="F249" i="37"/>
  <c r="E249" i="37"/>
  <c r="B249" i="37"/>
  <c r="C249" i="37"/>
  <c r="J279" i="37"/>
  <c r="H250" i="37"/>
  <c r="G250" i="37"/>
  <c r="F250" i="37"/>
  <c r="E250" i="37"/>
  <c r="B250" i="37"/>
  <c r="C250" i="37"/>
  <c r="J280" i="37"/>
  <c r="H251" i="37"/>
  <c r="G251" i="37"/>
  <c r="F251" i="37"/>
  <c r="E251" i="37"/>
  <c r="B251" i="37"/>
  <c r="C251" i="37"/>
  <c r="J281" i="37"/>
  <c r="H252" i="37"/>
  <c r="G252" i="37"/>
  <c r="F252" i="37"/>
  <c r="E252" i="37"/>
  <c r="B252" i="37"/>
  <c r="C252" i="37"/>
  <c r="J282" i="37"/>
  <c r="H253" i="37"/>
  <c r="G253" i="37"/>
  <c r="F253" i="37"/>
  <c r="E253" i="37"/>
  <c r="B253" i="37"/>
  <c r="C253" i="37"/>
  <c r="J283" i="37"/>
  <c r="H254" i="37"/>
  <c r="G254" i="37"/>
  <c r="F254" i="37"/>
  <c r="E254" i="37"/>
  <c r="B254" i="37"/>
  <c r="C254" i="37"/>
  <c r="J284" i="37"/>
  <c r="H255" i="37"/>
  <c r="G255" i="37"/>
  <c r="F255" i="37"/>
  <c r="E255" i="37"/>
  <c r="B255" i="37"/>
  <c r="C255" i="37"/>
  <c r="J285" i="37"/>
  <c r="H256" i="37"/>
  <c r="G256" i="37"/>
  <c r="F256" i="37"/>
  <c r="E256" i="37"/>
  <c r="B256" i="37"/>
  <c r="C256" i="37"/>
  <c r="J286" i="37"/>
  <c r="H257" i="37"/>
  <c r="G257" i="37"/>
  <c r="F257" i="37"/>
  <c r="E257" i="37"/>
  <c r="B257" i="37"/>
  <c r="C257" i="37"/>
  <c r="J287" i="37"/>
  <c r="H258" i="37"/>
  <c r="G258" i="37"/>
  <c r="F258" i="37"/>
  <c r="E258" i="37"/>
  <c r="B258" i="37"/>
  <c r="C258" i="37"/>
  <c r="J288" i="37"/>
  <c r="H259" i="37"/>
  <c r="G259" i="37"/>
  <c r="F259" i="37"/>
  <c r="E259" i="37"/>
  <c r="B259" i="37"/>
  <c r="C259" i="37"/>
  <c r="J289" i="37"/>
  <c r="H260" i="37"/>
  <c r="G260" i="37"/>
  <c r="F260" i="37"/>
  <c r="E260" i="37"/>
  <c r="B260" i="37"/>
  <c r="C260" i="37"/>
  <c r="J290" i="37"/>
  <c r="H261" i="37"/>
  <c r="G261" i="37"/>
  <c r="F261" i="37"/>
  <c r="E261" i="37"/>
  <c r="B261" i="37"/>
  <c r="C261" i="37"/>
  <c r="J291" i="37"/>
  <c r="H262" i="37"/>
  <c r="G262" i="37"/>
  <c r="F262" i="37"/>
  <c r="E262" i="37"/>
  <c r="B262" i="37"/>
  <c r="C262" i="37"/>
  <c r="J292" i="37"/>
  <c r="H263" i="37"/>
  <c r="G263" i="37"/>
  <c r="F263" i="37"/>
  <c r="E263" i="37"/>
  <c r="B263" i="37"/>
  <c r="C263" i="37"/>
  <c r="J293" i="37"/>
  <c r="H264" i="37"/>
  <c r="G264" i="37"/>
  <c r="F264" i="37"/>
  <c r="E264" i="37"/>
  <c r="B264" i="37"/>
  <c r="C264" i="37"/>
  <c r="J294" i="37"/>
  <c r="H265" i="37"/>
  <c r="G265" i="37"/>
  <c r="F265" i="37"/>
  <c r="E265" i="37"/>
  <c r="B265" i="37"/>
  <c r="C265" i="37"/>
  <c r="J295" i="37"/>
  <c r="H266" i="37"/>
  <c r="G266" i="37"/>
  <c r="F266" i="37"/>
  <c r="E266" i="37"/>
  <c r="B266" i="37"/>
  <c r="C266" i="37"/>
  <c r="J296" i="37"/>
  <c r="H267" i="37"/>
  <c r="G267" i="37"/>
  <c r="F267" i="37"/>
  <c r="E267" i="37"/>
  <c r="B267" i="37"/>
  <c r="C267" i="37"/>
  <c r="J297" i="37"/>
  <c r="H268" i="37"/>
  <c r="G268" i="37"/>
  <c r="F268" i="37"/>
  <c r="E268" i="37"/>
  <c r="B268" i="37"/>
  <c r="C268" i="37"/>
  <c r="J298" i="37"/>
  <c r="H269" i="37"/>
  <c r="G269" i="37"/>
  <c r="F269" i="37"/>
  <c r="E269" i="37"/>
  <c r="B269" i="37"/>
  <c r="C269" i="37"/>
  <c r="J299" i="37"/>
  <c r="H270" i="37"/>
  <c r="G270" i="37"/>
  <c r="F270" i="37"/>
  <c r="E270" i="37"/>
  <c r="B270" i="37"/>
  <c r="C270" i="37"/>
  <c r="J300" i="37"/>
  <c r="H271" i="37"/>
  <c r="G271" i="37"/>
  <c r="F271" i="37"/>
  <c r="E271" i="37"/>
  <c r="B271" i="37"/>
  <c r="C271" i="37"/>
  <c r="J301" i="37"/>
  <c r="H272" i="37"/>
  <c r="G272" i="37"/>
  <c r="F272" i="37"/>
  <c r="E272" i="37"/>
  <c r="B272" i="37"/>
  <c r="C272" i="37"/>
  <c r="J302" i="37"/>
  <c r="H273" i="37"/>
  <c r="G273" i="37"/>
  <c r="F273" i="37"/>
  <c r="E273" i="37"/>
  <c r="B273" i="37"/>
  <c r="C273" i="37"/>
  <c r="J303" i="37"/>
  <c r="H274" i="37"/>
  <c r="G274" i="37"/>
  <c r="F274" i="37"/>
  <c r="E274" i="37"/>
  <c r="B274" i="37"/>
  <c r="C274" i="37"/>
  <c r="J304" i="37"/>
  <c r="H275" i="37"/>
  <c r="G275" i="37"/>
  <c r="F275" i="37"/>
  <c r="E275" i="37"/>
  <c r="B275" i="37"/>
  <c r="C275" i="37"/>
  <c r="J305" i="37"/>
  <c r="H276" i="37"/>
  <c r="G276" i="37"/>
  <c r="F276" i="37"/>
  <c r="E276" i="37"/>
  <c r="B276" i="37"/>
  <c r="C276" i="37"/>
  <c r="J306" i="37"/>
  <c r="H277" i="37"/>
  <c r="G277" i="37"/>
  <c r="F277" i="37"/>
  <c r="E277" i="37"/>
  <c r="B277" i="37"/>
  <c r="C277" i="37"/>
  <c r="J307" i="37"/>
  <c r="H278" i="37"/>
  <c r="G278" i="37"/>
  <c r="F278" i="37"/>
  <c r="E278" i="37"/>
  <c r="B278" i="37"/>
  <c r="C278" i="37"/>
  <c r="J308" i="37"/>
  <c r="H279" i="37"/>
  <c r="G279" i="37"/>
  <c r="F279" i="37"/>
  <c r="E279" i="37"/>
  <c r="B279" i="37"/>
  <c r="C279" i="37"/>
  <c r="J309" i="37"/>
  <c r="H280" i="37"/>
  <c r="G280" i="37"/>
  <c r="F280" i="37"/>
  <c r="E280" i="37"/>
  <c r="B280" i="37"/>
  <c r="C280" i="37"/>
  <c r="J310" i="37"/>
  <c r="H281" i="37"/>
  <c r="G281" i="37"/>
  <c r="F281" i="37"/>
  <c r="E281" i="37"/>
  <c r="B281" i="37"/>
  <c r="C281" i="37"/>
  <c r="J311" i="37"/>
  <c r="H282" i="37"/>
  <c r="G282" i="37"/>
  <c r="F282" i="37"/>
  <c r="E282" i="37"/>
  <c r="B282" i="37"/>
  <c r="C282" i="37"/>
  <c r="J312" i="37"/>
  <c r="H283" i="37"/>
  <c r="G283" i="37"/>
  <c r="F283" i="37"/>
  <c r="E283" i="37"/>
  <c r="B283" i="37"/>
  <c r="C283" i="37"/>
  <c r="J313" i="37"/>
  <c r="H284" i="37"/>
  <c r="G284" i="37"/>
  <c r="F284" i="37"/>
  <c r="E284" i="37"/>
  <c r="B284" i="37"/>
  <c r="C284" i="37"/>
  <c r="J314" i="37"/>
  <c r="H285" i="37"/>
  <c r="G285" i="37"/>
  <c r="F285" i="37"/>
  <c r="E285" i="37"/>
  <c r="B285" i="37"/>
  <c r="C285" i="37"/>
  <c r="J315" i="37"/>
  <c r="H286" i="37"/>
  <c r="G286" i="37"/>
  <c r="F286" i="37"/>
  <c r="E286" i="37"/>
  <c r="B286" i="37"/>
  <c r="C286" i="37"/>
  <c r="J316" i="37"/>
  <c r="H287" i="37"/>
  <c r="G287" i="37"/>
  <c r="F287" i="37"/>
  <c r="E287" i="37"/>
  <c r="B287" i="37"/>
  <c r="C287" i="37"/>
  <c r="J317" i="37"/>
  <c r="H288" i="37"/>
  <c r="G288" i="37"/>
  <c r="F288" i="37"/>
  <c r="E288" i="37"/>
  <c r="B288" i="37"/>
  <c r="C288" i="37"/>
  <c r="J318" i="37"/>
  <c r="H289" i="37"/>
  <c r="G289" i="37"/>
  <c r="F289" i="37"/>
  <c r="E289" i="37"/>
  <c r="B289" i="37"/>
  <c r="C289" i="37"/>
  <c r="J319" i="37"/>
  <c r="H290" i="37"/>
  <c r="G290" i="37"/>
  <c r="F290" i="37"/>
  <c r="E290" i="37"/>
  <c r="B290" i="37"/>
  <c r="C290" i="37"/>
  <c r="J320" i="37"/>
  <c r="H291" i="37"/>
  <c r="G291" i="37"/>
  <c r="F291" i="37"/>
  <c r="E291" i="37"/>
  <c r="B291" i="37"/>
  <c r="C291" i="37"/>
  <c r="J321" i="37"/>
  <c r="H292" i="37"/>
  <c r="G292" i="37"/>
  <c r="F292" i="37"/>
  <c r="E292" i="37"/>
  <c r="B292" i="37"/>
  <c r="C292" i="37"/>
  <c r="J322" i="37"/>
  <c r="H293" i="37"/>
  <c r="G293" i="37"/>
  <c r="F293" i="37"/>
  <c r="E293" i="37"/>
  <c r="B293" i="37"/>
  <c r="C293" i="37"/>
  <c r="J323" i="37"/>
  <c r="H294" i="37"/>
  <c r="G294" i="37"/>
  <c r="F294" i="37"/>
  <c r="E294" i="37"/>
  <c r="B294" i="37"/>
  <c r="C294" i="37"/>
  <c r="J324" i="37"/>
  <c r="H295" i="37"/>
  <c r="G295" i="37"/>
  <c r="F295" i="37"/>
  <c r="E295" i="37"/>
  <c r="B295" i="37"/>
  <c r="C295" i="37"/>
  <c r="J325" i="37"/>
  <c r="H296" i="37"/>
  <c r="G296" i="37"/>
  <c r="F296" i="37"/>
  <c r="E296" i="37"/>
  <c r="B296" i="37"/>
  <c r="C296" i="37"/>
  <c r="J326" i="37"/>
  <c r="H297" i="37"/>
  <c r="G297" i="37"/>
  <c r="F297" i="37"/>
  <c r="E297" i="37"/>
  <c r="B297" i="37"/>
  <c r="C297" i="37"/>
  <c r="J327" i="37"/>
  <c r="H298" i="37"/>
  <c r="G298" i="37"/>
  <c r="F298" i="37"/>
  <c r="E298" i="37"/>
  <c r="B298" i="37"/>
  <c r="C298" i="37"/>
  <c r="J328" i="37"/>
  <c r="H299" i="37"/>
  <c r="G299" i="37"/>
  <c r="F299" i="37"/>
  <c r="E299" i="37"/>
  <c r="B299" i="37"/>
  <c r="C299" i="37"/>
  <c r="J329" i="37"/>
  <c r="H300" i="37"/>
  <c r="G300" i="37"/>
  <c r="F300" i="37"/>
  <c r="E300" i="37"/>
  <c r="B300" i="37"/>
  <c r="C300" i="37"/>
  <c r="J330" i="37"/>
  <c r="H301" i="37"/>
  <c r="G301" i="37"/>
  <c r="F301" i="37"/>
  <c r="E301" i="37"/>
  <c r="B301" i="37"/>
  <c r="C301" i="37"/>
  <c r="J331" i="37"/>
  <c r="H2" i="37"/>
  <c r="G2" i="37"/>
  <c r="F2" i="37"/>
  <c r="E2" i="37"/>
  <c r="B2" i="37"/>
  <c r="C2" i="37"/>
  <c r="J32" i="37"/>
  <c r="E3" i="40"/>
  <c r="D3" i="40"/>
  <c r="C3" i="40"/>
  <c r="B3" i="40"/>
  <c r="F36" i="40"/>
  <c r="E4" i="40"/>
  <c r="D4" i="40"/>
  <c r="C4" i="40"/>
  <c r="B4" i="40"/>
  <c r="F37" i="40"/>
  <c r="E5" i="40"/>
  <c r="D5" i="40"/>
  <c r="C5" i="40"/>
  <c r="B5" i="40"/>
  <c r="F38" i="40"/>
  <c r="E6" i="40"/>
  <c r="D6" i="40"/>
  <c r="C6" i="40"/>
  <c r="B6" i="40"/>
  <c r="F39" i="40"/>
  <c r="E7" i="40"/>
  <c r="D7" i="40"/>
  <c r="C7" i="40"/>
  <c r="B7" i="40"/>
  <c r="F40" i="40"/>
  <c r="E8" i="40"/>
  <c r="D8" i="40"/>
  <c r="C8" i="40"/>
  <c r="B8" i="40"/>
  <c r="F41" i="40"/>
  <c r="E9" i="40"/>
  <c r="D9" i="40"/>
  <c r="C9" i="40"/>
  <c r="B9" i="40"/>
  <c r="F42" i="40"/>
  <c r="E10" i="40"/>
  <c r="D10" i="40"/>
  <c r="C10" i="40"/>
  <c r="B10" i="40"/>
  <c r="F43" i="40"/>
  <c r="E11" i="40"/>
  <c r="D11" i="40"/>
  <c r="C11" i="40"/>
  <c r="B11" i="40"/>
  <c r="F44" i="40"/>
  <c r="E12" i="40"/>
  <c r="D12" i="40"/>
  <c r="C12" i="40"/>
  <c r="B12" i="40"/>
  <c r="F45" i="40"/>
  <c r="E13" i="40"/>
  <c r="D13" i="40"/>
  <c r="C13" i="40"/>
  <c r="B13" i="40"/>
  <c r="F46" i="40"/>
  <c r="E14" i="40"/>
  <c r="D14" i="40"/>
  <c r="C14" i="40"/>
  <c r="B14" i="40"/>
  <c r="F47" i="40"/>
  <c r="E15" i="40"/>
  <c r="D15" i="40"/>
  <c r="C15" i="40"/>
  <c r="B15" i="40"/>
  <c r="F48" i="40"/>
  <c r="E16" i="40"/>
  <c r="D16" i="40"/>
  <c r="C16" i="40"/>
  <c r="B16" i="40"/>
  <c r="F49" i="40"/>
  <c r="E17" i="40"/>
  <c r="D17" i="40"/>
  <c r="C17" i="40"/>
  <c r="B17" i="40"/>
  <c r="F50" i="40"/>
  <c r="E18" i="40"/>
  <c r="D18" i="40"/>
  <c r="C18" i="40"/>
  <c r="B18" i="40"/>
  <c r="F51" i="40"/>
  <c r="E19" i="40"/>
  <c r="D19" i="40"/>
  <c r="C19" i="40"/>
  <c r="B19" i="40"/>
  <c r="F52" i="40"/>
  <c r="E20" i="40"/>
  <c r="D20" i="40"/>
  <c r="C20" i="40"/>
  <c r="B20" i="40"/>
  <c r="F53" i="40"/>
  <c r="E21" i="40"/>
  <c r="D21" i="40"/>
  <c r="C21" i="40"/>
  <c r="B21" i="40"/>
  <c r="F54" i="40"/>
  <c r="E22" i="40"/>
  <c r="D22" i="40"/>
  <c r="C22" i="40"/>
  <c r="B22" i="40"/>
  <c r="F55" i="40"/>
  <c r="E23" i="40"/>
  <c r="D23" i="40"/>
  <c r="C23" i="40"/>
  <c r="B23" i="40"/>
  <c r="F56" i="40"/>
  <c r="E24" i="40"/>
  <c r="D24" i="40"/>
  <c r="C24" i="40"/>
  <c r="B24" i="40"/>
  <c r="F57" i="40"/>
  <c r="E25" i="40"/>
  <c r="D25" i="40"/>
  <c r="C25" i="40"/>
  <c r="B25" i="40"/>
  <c r="F58" i="40"/>
  <c r="E26" i="40"/>
  <c r="D26" i="40"/>
  <c r="C26" i="40"/>
  <c r="B26" i="40"/>
  <c r="F59" i="40"/>
  <c r="E2" i="40"/>
  <c r="D2" i="40"/>
  <c r="C2" i="40"/>
  <c r="B2" i="40"/>
  <c r="F35" i="40"/>
  <c r="D3" i="42"/>
  <c r="I29" i="42"/>
  <c r="D4" i="42"/>
  <c r="I30" i="42"/>
  <c r="D5" i="42"/>
  <c r="I31" i="42"/>
  <c r="D6" i="42"/>
  <c r="I32" i="42"/>
  <c r="D7" i="42"/>
  <c r="I33" i="42"/>
  <c r="D8" i="42"/>
  <c r="I34" i="42"/>
  <c r="D9" i="42"/>
  <c r="I35" i="42"/>
  <c r="D10" i="42"/>
  <c r="I36" i="42"/>
  <c r="D11" i="42"/>
  <c r="I37" i="42"/>
  <c r="D12" i="42"/>
  <c r="I38" i="42"/>
  <c r="D13" i="42"/>
  <c r="I39" i="42"/>
  <c r="D14" i="42"/>
  <c r="I40" i="42"/>
  <c r="D15" i="42"/>
  <c r="I41" i="42"/>
  <c r="D16" i="42"/>
  <c r="I42" i="42"/>
  <c r="D17" i="42"/>
  <c r="I43" i="42"/>
  <c r="D18" i="42"/>
  <c r="I44" i="42"/>
  <c r="D19" i="42"/>
  <c r="I45" i="42"/>
  <c r="D20" i="42"/>
  <c r="I46" i="42"/>
  <c r="D21" i="42"/>
  <c r="I47" i="42"/>
  <c r="D22" i="42"/>
  <c r="I48" i="42"/>
  <c r="D23" i="42"/>
  <c r="I49" i="42"/>
  <c r="D24" i="42"/>
  <c r="I50" i="42"/>
  <c r="D2" i="42"/>
  <c r="I28" i="42"/>
  <c r="C3" i="45"/>
  <c r="E13" i="45"/>
  <c r="C4" i="45"/>
  <c r="E14" i="45"/>
  <c r="C5" i="45"/>
  <c r="E15" i="45"/>
  <c r="C6" i="45"/>
  <c r="E16" i="45"/>
  <c r="C7" i="45"/>
  <c r="E17" i="45"/>
  <c r="F13" i="39"/>
  <c r="F14" i="39"/>
  <c r="F15" i="39"/>
  <c r="F16" i="39"/>
  <c r="F12" i="39"/>
  <c r="F2" i="41"/>
  <c r="E2" i="41"/>
  <c r="D2" i="41"/>
  <c r="B2" i="41"/>
  <c r="C2" i="41"/>
  <c r="I20" i="41"/>
  <c r="C2" i="45"/>
  <c r="E12" i="45"/>
</calcChain>
</file>

<file path=xl/sharedStrings.xml><?xml version="1.0" encoding="utf-8"?>
<sst xmlns="http://schemas.openxmlformats.org/spreadsheetml/2006/main" count="5418" uniqueCount="4728">
  <si>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</si>
  <si>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</si>
  <si>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</si>
  <si>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</si>
  <si>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</si>
  <si>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</si>
  <si>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</si>
  <si>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</si>
  <si>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</si>
  <si>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</si>
  <si>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</si>
  <si>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</si>
  <si>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</si>
  <si>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</si>
  <si>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</si>
  <si>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</si>
  <si>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</si>
  <si>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</si>
  <si>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</si>
  <si>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</si>
  <si>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</si>
  <si>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</si>
  <si>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</si>
  <si>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</si>
  <si>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</si>
  <si>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</si>
  <si>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</si>
  <si>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</si>
  <si>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</si>
  <si>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</si>
  <si>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</si>
  <si>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</si>
  <si>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</si>
  <si>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</si>
  <si>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</si>
  <si>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</si>
  <si>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</si>
  <si>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</si>
  <si>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</si>
  <si>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</si>
  <si>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</si>
  <si>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</si>
  <si>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</si>
  <si>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</si>
  <si>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</si>
  <si>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</si>
  <si>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</si>
  <si>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</si>
  <si>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</si>
  <si>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</si>
  <si>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</si>
  <si>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</si>
  <si>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</si>
  <si>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</si>
  <si>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</si>
  <si>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</si>
  <si>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</si>
  <si>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</si>
  <si>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</si>
  <si>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</si>
  <si>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</si>
  <si>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</si>
  <si>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</si>
  <si>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</si>
  <si>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</si>
  <si>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</si>
  <si>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</si>
  <si>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</si>
  <si>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</si>
  <si>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</si>
  <si>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</si>
  <si>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</si>
  <si>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</si>
  <si>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</si>
  <si>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</si>
  <si>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</si>
  <si>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</si>
  <si>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</si>
  <si>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</si>
  <si>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</si>
  <si>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</si>
  <si>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</si>
  <si>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</si>
  <si>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</si>
  <si>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</si>
  <si>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</si>
  <si>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</si>
  <si>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</si>
  <si>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</si>
  <si>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</si>
  <si>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</si>
  <si>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</si>
  <si>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</si>
  <si>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</si>
  <si>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</si>
  <si>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</si>
  <si>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</si>
  <si>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</si>
  <si>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</si>
  <si>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</si>
  <si>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</si>
  <si>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</si>
  <si>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</si>
  <si>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</si>
  <si>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</si>
  <si>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</si>
  <si>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</si>
  <si>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</si>
  <si>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</si>
  <si>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</si>
  <si>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</si>
  <si>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</si>
  <si>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</si>
  <si>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</si>
  <si>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</si>
  <si>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</si>
  <si>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</si>
  <si>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</si>
  <si>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</si>
  <si>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</si>
  <si>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</si>
  <si>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</si>
  <si>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</si>
  <si>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</si>
  <si>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</si>
  <si>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</si>
  <si>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</si>
  <si>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</si>
  <si>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</si>
  <si>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</si>
  <si>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</si>
  <si>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</si>
  <si>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</si>
  <si>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</si>
  <si>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</si>
  <si>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</si>
  <si>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</si>
  <si>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</si>
  <si>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</si>
  <si>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</si>
  <si>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</si>
  <si>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</si>
  <si>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</si>
  <si>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</si>
  <si>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</si>
  <si>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</si>
  <si>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</si>
  <si>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</si>
  <si>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</si>
  <si>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</si>
  <si>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</si>
  <si>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</si>
  <si>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</si>
  <si>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</si>
  <si>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</si>
  <si>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</si>
  <si>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</si>
  <si>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</si>
  <si>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</si>
  <si>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</si>
  <si>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</si>
  <si>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</si>
  <si>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</si>
  <si>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</si>
  <si>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</si>
  <si>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</si>
  <si>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</si>
  <si>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</si>
  <si>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</si>
  <si>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</si>
  <si>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</si>
  <si>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</si>
  <si>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</si>
  <si>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</si>
  <si>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</si>
  <si>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</si>
  <si>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</si>
  <si>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</si>
  <si>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</si>
  <si>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</si>
  <si>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</si>
  <si>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</si>
  <si>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</si>
  <si>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</si>
  <si>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</si>
  <si>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</si>
  <si>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</si>
  <si>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</si>
  <si>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</si>
  <si>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</si>
  <si>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</si>
  <si>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</si>
  <si>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</si>
  <si>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</si>
  <si>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</si>
  <si>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</si>
  <si>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</si>
  <si>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</si>
  <si>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</si>
  <si>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</si>
  <si>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</si>
  <si>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</si>
  <si>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</si>
  <si>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</si>
  <si>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</si>
  <si>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</si>
  <si>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</si>
  <si>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</si>
  <si>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</si>
  <si>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</si>
  <si>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</si>
  <si>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</si>
  <si>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</si>
  <si>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</si>
  <si>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</si>
  <si>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</si>
  <si>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</si>
  <si>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</si>
  <si>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</si>
  <si>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</si>
  <si>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</si>
  <si>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</si>
  <si>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</si>
  <si>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</si>
  <si>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</si>
  <si>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</si>
  <si>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</si>
  <si>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</si>
  <si>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</si>
  <si>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</si>
  <si>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</si>
  <si>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</si>
  <si>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</si>
  <si>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</si>
  <si>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</si>
  <si>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</si>
  <si>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</si>
  <si>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</si>
  <si>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</si>
  <si>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</si>
  <si>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</si>
  <si>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</si>
  <si>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</si>
  <si>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</si>
  <si>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</si>
  <si>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</si>
  <si>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</si>
  <si>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</si>
  <si>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</si>
  <si>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</si>
  <si>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</si>
  <si>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</si>
  <si>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</si>
  <si>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</si>
  <si>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</si>
  <si>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</si>
  <si>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</si>
  <si>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</si>
  <si>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</si>
  <si>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</si>
  <si>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</si>
  <si>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</si>
  <si>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</si>
  <si>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</si>
  <si>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</si>
  <si>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</si>
  <si>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</si>
  <si>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</si>
  <si>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</si>
  <si>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</si>
  <si>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</si>
  <si>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</si>
  <si>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</si>
  <si>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</si>
  <si>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</si>
  <si>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</si>
  <si>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</si>
  <si>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</si>
  <si>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</si>
  <si>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</si>
  <si>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</si>
  <si>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</si>
  <si>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</si>
  <si>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</si>
  <si>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</si>
  <si>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</si>
  <si>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</si>
  <si>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</si>
  <si>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</si>
  <si>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</si>
  <si>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</si>
  <si>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</si>
  <si>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</si>
  <si>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</si>
  <si>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</si>
  <si>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</si>
  <si>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</si>
  <si>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</si>
  <si>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</si>
  <si>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</si>
  <si>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</si>
  <si>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</si>
  <si>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</si>
  <si>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</si>
  <si>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</si>
  <si>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</si>
  <si>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</si>
  <si>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</si>
  <si>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</si>
  <si>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</si>
  <si>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</si>
  <si>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</si>
  <si>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</si>
  <si>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</si>
  <si>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</si>
  <si>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</si>
  <si>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</si>
  <si>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</si>
  <si>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</si>
  <si>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</si>
  <si>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</si>
  <si>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</si>
  <si>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</si>
  <si>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</si>
  <si>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</si>
  <si>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</si>
  <si>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</si>
  <si>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</si>
  <si>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</si>
  <si>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</si>
  <si>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</si>
  <si>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</si>
  <si>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</si>
  <si>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</si>
  <si>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</si>
  <si>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</si>
  <si>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</si>
  <si>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</si>
  <si>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</si>
  <si>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</si>
  <si>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</si>
  <si>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</si>
  <si>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</si>
  <si>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</si>
  <si>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</si>
  <si>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</si>
  <si>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</si>
  <si>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</si>
  <si>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</si>
  <si>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</si>
  <si>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</si>
  <si>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</si>
  <si>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</si>
  <si>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</si>
  <si>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</si>
  <si>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</si>
  <si>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</si>
  <si>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</si>
  <si>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</si>
  <si>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</si>
  <si>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</si>
  <si>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</si>
  <si>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</si>
  <si>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</si>
  <si>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</si>
  <si>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</si>
  <si>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</si>
  <si>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</si>
  <si>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</si>
  <si>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</si>
  <si>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</si>
  <si>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</si>
  <si>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</si>
  <si>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</si>
  <si>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</si>
  <si>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</si>
  <si>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</si>
  <si>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</si>
  <si>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</si>
  <si>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</si>
  <si>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</si>
  <si>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</si>
  <si>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</si>
  <si>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</si>
  <si>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</si>
  <si>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</si>
  <si>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</si>
  <si>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</si>
  <si>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</si>
  <si>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</si>
  <si>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</si>
  <si>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</si>
  <si>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</si>
  <si>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</si>
  <si>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</si>
  <si>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</si>
  <si>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</si>
  <si>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</si>
  <si>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</si>
  <si>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</si>
  <si>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</si>
  <si>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</si>
  <si>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</si>
  <si>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</si>
  <si>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</si>
  <si>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</si>
  <si>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</si>
  <si>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</si>
  <si>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</si>
  <si>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</si>
  <si>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</si>
  <si>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</si>
  <si>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</si>
  <si>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</si>
  <si>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</si>
  <si>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</si>
  <si>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</si>
  <si>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</si>
  <si>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</si>
  <si>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</si>
  <si>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</si>
  <si>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</si>
  <si>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</si>
  <si>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</si>
  <si>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</si>
  <si>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</si>
  <si>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</si>
  <si>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</si>
  <si>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</si>
  <si>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</si>
  <si>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</si>
  <si>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</si>
  <si>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</si>
  <si>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</si>
  <si>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</si>
  <si>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</si>
  <si>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</si>
  <si>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</si>
  <si>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</si>
  <si>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</si>
  <si>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</si>
  <si>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</si>
  <si>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</si>
  <si>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</si>
  <si>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</si>
  <si>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</si>
  <si>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</si>
  <si>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</si>
  <si>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</si>
  <si>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</si>
  <si>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</si>
  <si>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</si>
  <si>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</si>
  <si>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</si>
  <si>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</si>
  <si>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</si>
  <si>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</si>
  <si>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</si>
  <si>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</si>
  <si>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</si>
  <si>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</si>
  <si>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</si>
  <si>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</si>
  <si>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</si>
  <si>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</si>
  <si>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</si>
  <si>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</si>
  <si>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</si>
  <si>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</si>
  <si>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</si>
  <si>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</si>
  <si>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</si>
  <si>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</si>
  <si>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</si>
  <si>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</si>
  <si>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</si>
  <si>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</si>
  <si>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</si>
  <si>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</si>
  <si>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</si>
  <si>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</si>
  <si>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</si>
  <si>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</si>
  <si>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</si>
  <si>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</si>
  <si>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</si>
  <si>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</si>
  <si>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</si>
  <si>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</si>
  <si>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</si>
  <si>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</si>
  <si>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</si>
  <si>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</si>
  <si>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</si>
  <si>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</si>
  <si>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</si>
  <si>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</si>
  <si>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</si>
  <si>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</si>
  <si>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</si>
  <si>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</si>
  <si>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</si>
  <si>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</si>
  <si>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</si>
  <si>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</si>
  <si>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</si>
  <si>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</si>
  <si>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</si>
  <si>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</si>
  <si>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</si>
  <si>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</si>
  <si>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</si>
  <si>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</si>
  <si>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</si>
  <si>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</si>
  <si>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</si>
  <si>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</si>
  <si>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</si>
  <si>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</si>
  <si>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</si>
  <si>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</si>
  <si>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</si>
  <si>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</si>
  <si>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</si>
  <si>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</si>
  <si>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</si>
  <si>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</si>
  <si>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</si>
  <si>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</si>
  <si>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</si>
  <si>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</si>
  <si>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</si>
  <si>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</si>
  <si>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</si>
  <si>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</si>
  <si>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</si>
  <si>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</si>
  <si>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</si>
  <si>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</si>
  <si>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</si>
  <si>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</si>
  <si>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</si>
  <si>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</si>
  <si>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</si>
  <si>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</si>
  <si>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</si>
  <si>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</si>
  <si>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</si>
  <si>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</si>
  <si>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</si>
  <si>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</si>
  <si>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</si>
  <si>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</si>
  <si>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</si>
  <si>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</si>
  <si>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</si>
  <si>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</si>
  <si>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</si>
  <si>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</si>
  <si>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</si>
  <si>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</si>
  <si>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</si>
  <si>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</si>
  <si>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</si>
  <si>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</si>
  <si>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</si>
  <si>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</si>
  <si>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</si>
  <si>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</si>
  <si>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</si>
  <si>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</si>
  <si>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</si>
  <si>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</si>
  <si>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</si>
  <si>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</si>
  <si>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</si>
  <si>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</si>
  <si>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</si>
  <si>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</si>
  <si>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</si>
  <si>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</si>
  <si>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</si>
  <si>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</si>
  <si>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</si>
  <si>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</si>
  <si>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</si>
  <si>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</si>
  <si>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</si>
  <si>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</si>
  <si>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</si>
  <si>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</si>
  <si>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</si>
  <si>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</si>
  <si>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</si>
  <si>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</si>
  <si>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</si>
  <si>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</si>
  <si>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</si>
  <si>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</si>
  <si>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</si>
  <si>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</si>
  <si>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</si>
  <si>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</si>
  <si>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</si>
  <si>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</si>
  <si>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</si>
  <si>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</si>
  <si>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</si>
  <si>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</si>
  <si>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</si>
  <si>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</si>
  <si>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</si>
  <si>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</si>
  <si>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</si>
  <si>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</si>
  <si>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</si>
  <si>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</si>
  <si>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</si>
  <si>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</si>
  <si>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</si>
  <si>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</si>
  <si>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</si>
  <si>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</si>
  <si>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</si>
  <si>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</si>
  <si>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</si>
  <si>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</si>
  <si>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</si>
  <si>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</si>
  <si>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</si>
  <si>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</si>
  <si>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</si>
  <si>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</si>
  <si>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</si>
  <si>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</si>
  <si>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</si>
  <si>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</si>
  <si>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</si>
  <si>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</si>
  <si>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</si>
  <si>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</si>
  <si>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</si>
  <si>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</si>
  <si>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</si>
  <si>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</si>
  <si>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</si>
  <si>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</si>
  <si>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</si>
  <si>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</si>
  <si>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</si>
  <si>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</si>
  <si>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</si>
  <si>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</si>
  <si>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</si>
  <si>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</si>
  <si>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</si>
  <si>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</si>
  <si>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</si>
  <si>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</si>
  <si>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</si>
  <si>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</si>
  <si>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</si>
  <si>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</si>
  <si>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</si>
  <si>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</si>
  <si>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</si>
  <si>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</si>
  <si>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</si>
  <si>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</si>
  <si>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</si>
  <si>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</si>
  <si>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</si>
  <si>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</si>
  <si>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</si>
  <si>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</si>
  <si>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</si>
  <si>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</si>
  <si>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</si>
  <si>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</si>
  <si>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</si>
  <si>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</si>
  <si>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</si>
  <si>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</si>
  <si>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</si>
  <si>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</si>
  <si>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</si>
  <si>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</si>
  <si>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</si>
  <si>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</si>
  <si>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</si>
  <si>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</si>
  <si>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</si>
  <si>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</si>
  <si>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</si>
  <si>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</si>
  <si>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</si>
  <si>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</si>
  <si>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</si>
  <si>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</si>
  <si>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</si>
  <si>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</si>
  <si>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</si>
  <si>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</si>
  <si>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</si>
  <si>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</si>
  <si>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</si>
  <si>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</si>
  <si>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</si>
  <si>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</si>
  <si>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</si>
  <si>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</si>
  <si>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</si>
  <si>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</si>
  <si>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</si>
  <si>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</si>
  <si>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</si>
  <si>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</si>
  <si>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</si>
  <si>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</si>
  <si>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</si>
  <si>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</si>
  <si>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</si>
  <si>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</si>
  <si>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</si>
  <si>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</si>
  <si>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</si>
  <si>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</si>
  <si>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</si>
  <si>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</si>
  <si>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</si>
  <si>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</si>
  <si>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</si>
  <si>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</si>
  <si>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</si>
  <si>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</si>
  <si>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</si>
  <si>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</si>
  <si>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</si>
  <si>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</si>
  <si>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</si>
  <si>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</si>
  <si>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</si>
  <si>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</si>
  <si>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</si>
  <si>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</si>
  <si>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</si>
  <si>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</si>
  <si>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</si>
  <si>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</si>
  <si>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</si>
  <si>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</si>
  <si>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</si>
  <si>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</si>
  <si>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</si>
  <si>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</si>
  <si>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</si>
  <si>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</si>
  <si>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</si>
  <si>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</si>
  <si>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</si>
  <si>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</si>
  <si>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</si>
  <si>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</si>
  <si>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</si>
  <si>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</si>
  <si>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</si>
  <si>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</si>
  <si>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</si>
  <si>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</si>
  <si>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</si>
  <si>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</si>
  <si>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</si>
  <si>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</si>
  <si>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</si>
  <si>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</si>
  <si>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</si>
  <si>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</si>
  <si>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</si>
  <si>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</si>
  <si>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</si>
  <si>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</si>
  <si>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</si>
  <si>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</si>
  <si>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</si>
  <si>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</si>
  <si>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</si>
  <si>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</si>
  <si>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</si>
  <si>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</si>
  <si>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</si>
  <si>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</si>
  <si>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</si>
  <si>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</si>
  <si>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</si>
  <si>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</si>
  <si>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</si>
  <si>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</si>
  <si>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</si>
  <si>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</si>
  <si>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</si>
  <si>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</si>
  <si>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</si>
  <si>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</si>
  <si>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</si>
  <si>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</si>
  <si>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</si>
  <si>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</si>
  <si>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</si>
  <si>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</si>
  <si>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</si>
  <si>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</si>
  <si>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</si>
  <si>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</si>
  <si>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</si>
  <si>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</si>
  <si>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</si>
  <si>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</si>
  <si>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</si>
  <si>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</si>
  <si>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</si>
  <si>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</si>
  <si>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</si>
  <si>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</si>
  <si>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</si>
  <si>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</si>
  <si>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</si>
  <si>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</si>
  <si>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</si>
  <si>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</si>
  <si>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</si>
  <si>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</si>
  <si>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</si>
  <si>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</si>
  <si>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</si>
  <si>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</si>
  <si>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</si>
  <si>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</si>
  <si>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</si>
  <si>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</si>
  <si>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</si>
  <si>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</si>
  <si>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</si>
  <si>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</si>
  <si>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</si>
  <si>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</si>
  <si>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</si>
  <si>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</si>
  <si>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</si>
  <si>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</si>
  <si>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</si>
  <si>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</si>
  <si>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</si>
  <si>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</si>
  <si>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</si>
  <si>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</si>
  <si>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</si>
  <si>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</si>
  <si>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</si>
  <si>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</si>
  <si>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</si>
  <si>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</si>
  <si>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</si>
  <si>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</si>
  <si>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</si>
  <si>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</si>
  <si>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</si>
  <si>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</si>
  <si>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</si>
  <si>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</si>
  <si>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</si>
  <si>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</si>
  <si>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</si>
  <si>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</si>
  <si>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</si>
  <si>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</si>
  <si>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</si>
  <si>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</si>
  <si>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</si>
  <si>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</si>
  <si>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</si>
  <si>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</si>
  <si>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</si>
  <si>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</si>
  <si>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</si>
  <si>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</si>
  <si>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</si>
  <si>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</si>
  <si>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</si>
  <si>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</si>
  <si>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</si>
  <si>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</si>
  <si>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</si>
  <si>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</si>
  <si>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</si>
  <si>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</si>
  <si>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</si>
  <si>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</si>
  <si>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</si>
  <si>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</si>
  <si>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</si>
  <si>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</si>
  <si>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</si>
  <si>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</si>
  <si>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</si>
  <si>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</si>
  <si>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</si>
  <si>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</si>
  <si>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</si>
  <si>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</si>
  <si>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</si>
  <si>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</si>
  <si>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</si>
  <si>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</si>
  <si>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</si>
  <si>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</si>
  <si>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</si>
  <si>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</si>
  <si>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</si>
  <si>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</si>
  <si>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</si>
  <si>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</si>
  <si>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</si>
  <si>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</si>
  <si>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</si>
  <si>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</si>
  <si>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</si>
  <si>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</si>
  <si>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</si>
  <si>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</si>
  <si>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</si>
  <si>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</si>
  <si>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</si>
  <si>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</si>
  <si>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</si>
  <si>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</si>
  <si>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</si>
  <si>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</si>
  <si>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</si>
  <si>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</si>
  <si>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</si>
  <si>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</si>
  <si>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</si>
  <si>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</si>
  <si>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</si>
  <si>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</si>
  <si>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</si>
  <si>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</si>
  <si>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</si>
  <si>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</si>
  <si>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</si>
  <si>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</si>
  <si>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</si>
  <si>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</si>
  <si>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</si>
  <si>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</si>
  <si>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</si>
  <si>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</si>
  <si>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</si>
  <si>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</si>
  <si>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</si>
  <si>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</si>
  <si>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</si>
  <si>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</si>
  <si>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</si>
  <si>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</si>
  <si>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</si>
  <si>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</si>
  <si>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</si>
  <si>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</si>
  <si>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</si>
  <si>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</si>
  <si>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</si>
  <si>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</si>
  <si>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</si>
  <si>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</si>
  <si>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</si>
  <si>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</si>
  <si>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</si>
  <si>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</si>
  <si>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</si>
  <si>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</si>
  <si>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</si>
  <si>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</si>
  <si>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</si>
  <si>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</si>
  <si>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</si>
  <si>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</si>
  <si>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</si>
  <si>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</si>
  <si>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</si>
  <si>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</si>
  <si>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</si>
  <si>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</si>
  <si>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</si>
  <si>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</si>
  <si>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</si>
  <si>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</si>
  <si>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</si>
  <si>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</si>
  <si>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</si>
  <si>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</si>
  <si>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</si>
  <si>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</si>
  <si>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</si>
  <si>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</si>
  <si>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</si>
  <si>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</si>
  <si>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</si>
  <si>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</si>
  <si>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</si>
  <si>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</si>
  <si>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</si>
  <si>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</si>
  <si>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</si>
  <si>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</si>
  <si>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</si>
  <si>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</si>
  <si>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</si>
  <si>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</si>
  <si>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</si>
  <si>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</si>
  <si>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</si>
  <si>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</si>
  <si>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</si>
  <si>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</si>
  <si>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</si>
  <si>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</si>
  <si>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</si>
  <si>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</si>
  <si>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</si>
  <si>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</si>
  <si>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</si>
  <si>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</si>
  <si>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</si>
  <si>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</si>
  <si>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</si>
  <si>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</si>
  <si>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</si>
  <si>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</si>
  <si>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</si>
  <si>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</si>
  <si>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</si>
  <si>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</si>
  <si>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</si>
  <si>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</si>
  <si>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</si>
  <si>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</si>
  <si>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</si>
  <si>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</si>
  <si>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</si>
  <si>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</si>
  <si>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</si>
  <si>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</si>
  <si>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</si>
  <si>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</si>
  <si>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</si>
  <si>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</si>
  <si>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</si>
  <si>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</si>
  <si>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</si>
  <si>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</si>
  <si>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</si>
  <si>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</si>
  <si>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</si>
  <si>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</si>
  <si>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</si>
  <si>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</si>
  <si>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</si>
  <si>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</si>
  <si>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</si>
  <si>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</si>
  <si>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</si>
  <si>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</si>
  <si>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</si>
  <si>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</si>
  <si>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</si>
  <si>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</si>
  <si>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</si>
  <si>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</si>
  <si>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</si>
  <si>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</si>
  <si>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</si>
  <si>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</si>
  <si>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</si>
  <si>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</si>
  <si>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</si>
  <si>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</si>
  <si>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</si>
  <si>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</si>
  <si>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</si>
  <si>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</si>
  <si>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</si>
  <si>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</si>
  <si>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</si>
  <si>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</si>
  <si>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</si>
  <si>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</si>
  <si>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</si>
  <si>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</si>
  <si>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</si>
  <si>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</si>
  <si>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</si>
  <si>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</si>
  <si>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</si>
  <si>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</si>
  <si>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</si>
  <si>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</si>
  <si>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</si>
  <si>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</si>
  <si>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</si>
  <si>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</si>
  <si>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</si>
  <si>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</si>
  <si>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</si>
  <si>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</si>
  <si>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</si>
  <si>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</si>
  <si>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</si>
  <si>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</si>
  <si>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</si>
  <si>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</si>
  <si>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</si>
  <si>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</si>
  <si>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</si>
  <si>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</si>
  <si>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</si>
  <si>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</si>
  <si>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</si>
  <si>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</si>
  <si>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</si>
  <si>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</si>
  <si>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</si>
  <si>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</si>
  <si>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</si>
  <si>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</si>
  <si>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</si>
  <si>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</si>
  <si>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</si>
  <si>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</si>
  <si>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</si>
  <si>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</si>
  <si>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</si>
  <si>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</si>
  <si>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</si>
  <si>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</si>
  <si>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</si>
  <si>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</si>
  <si>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</si>
  <si>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</si>
  <si>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</si>
  <si>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</si>
  <si>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</si>
  <si>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</si>
  <si>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</si>
  <si>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</si>
  <si>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</si>
  <si>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</si>
  <si>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</si>
  <si>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</si>
  <si>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</si>
  <si>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</si>
  <si>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</si>
  <si>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</si>
  <si>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</si>
  <si>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</si>
  <si>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</si>
  <si>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</si>
  <si>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</si>
  <si>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</si>
  <si>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</si>
  <si>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</si>
  <si>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</si>
  <si>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</si>
  <si>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</si>
  <si>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</si>
  <si>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</si>
  <si>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</si>
  <si>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</si>
  <si>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</si>
  <si>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</si>
  <si>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</si>
  <si>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</si>
  <si>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</si>
  <si>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</si>
  <si>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</si>
  <si>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</si>
  <si>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</si>
  <si>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</si>
  <si>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</si>
  <si>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</si>
  <si>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</si>
  <si>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</si>
  <si>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</si>
  <si>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</si>
  <si>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</si>
  <si>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</si>
  <si>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</si>
  <si>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</si>
  <si>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</si>
  <si>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</si>
  <si>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</si>
  <si>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</si>
  <si>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</si>
  <si>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</si>
  <si>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</si>
  <si>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</si>
  <si>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</si>
  <si>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</si>
  <si>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</si>
  <si>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</si>
  <si>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</si>
  <si>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</si>
  <si>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</si>
  <si>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</si>
  <si>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</si>
  <si>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</si>
  <si>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</si>
  <si>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</si>
  <si>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</si>
  <si>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</si>
  <si>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</si>
  <si>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</si>
  <si>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</si>
  <si>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</si>
  <si>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</si>
  <si>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</si>
  <si>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</si>
  <si>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</si>
  <si>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</si>
  <si>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</si>
  <si>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</si>
  <si>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</si>
  <si>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</si>
  <si>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</si>
  <si>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</si>
  <si>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</si>
  <si>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</si>
  <si>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</si>
  <si>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</si>
  <si>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</si>
  <si>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</si>
  <si>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</si>
  <si>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</si>
  <si>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</si>
  <si>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</si>
  <si>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</si>
  <si>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</si>
  <si>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</si>
  <si>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</si>
  <si>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</si>
  <si>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</si>
  <si>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</si>
  <si>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</si>
  <si>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</si>
  <si>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</si>
  <si>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</si>
  <si>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</si>
  <si>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</si>
  <si>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</si>
  <si>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</si>
  <si>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</si>
  <si>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</si>
  <si>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</si>
  <si>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</si>
  <si>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</si>
  <si>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</si>
  <si>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</si>
  <si>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</si>
  <si>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</si>
  <si>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</si>
  <si>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</si>
  <si>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</si>
  <si>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</si>
  <si>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</si>
  <si>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</si>
  <si>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</si>
  <si>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</si>
  <si>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</si>
  <si>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</si>
  <si>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</si>
  <si>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</si>
  <si>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</si>
  <si>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</si>
  <si>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</si>
  <si>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</si>
  <si>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</si>
  <si>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</si>
  <si>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</si>
  <si>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</si>
  <si>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</si>
  <si>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</si>
  <si>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</si>
  <si>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</si>
  <si>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</si>
  <si>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</si>
  <si>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</si>
  <si>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</si>
  <si>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</si>
  <si>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</si>
  <si>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</si>
  <si>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</si>
  <si>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</si>
  <si>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</si>
  <si>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</si>
  <si>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</si>
  <si>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</si>
  <si>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</si>
  <si>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</si>
  <si>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</si>
  <si>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</si>
  <si>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</si>
  <si>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</si>
  <si>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</si>
  <si>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</si>
  <si>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</si>
  <si>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</si>
  <si>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</si>
  <si>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</si>
  <si>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</si>
  <si>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</si>
  <si>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</si>
  <si>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</si>
  <si>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</si>
  <si>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</si>
  <si>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</si>
  <si>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</si>
  <si>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</si>
  <si>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</si>
  <si>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</si>
  <si>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</si>
  <si>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</si>
  <si>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</si>
  <si>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</si>
  <si>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</si>
  <si>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</si>
  <si>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</si>
  <si>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</si>
  <si>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</si>
  <si>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</si>
  <si>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</si>
  <si>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</si>
  <si>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</si>
  <si>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</si>
  <si>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</si>
  <si>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</si>
  <si>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</si>
  <si>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</si>
  <si>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</si>
  <si>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</si>
  <si>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</si>
  <si>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</si>
  <si>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</si>
  <si>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</si>
  <si>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</si>
  <si>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</si>
  <si>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</si>
  <si>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</si>
  <si>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</si>
  <si>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</si>
  <si>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</si>
  <si>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</si>
  <si>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</si>
  <si>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</si>
  <si>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</si>
  <si>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</si>
  <si>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</si>
  <si>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</si>
  <si>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</si>
  <si>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</si>
  <si>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</si>
  <si>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</si>
  <si>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</si>
  <si>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</si>
  <si>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</si>
  <si>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</si>
  <si>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</si>
  <si>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</si>
  <si>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</si>
  <si>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</si>
  <si>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</si>
  <si>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</si>
  <si>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</si>
  <si>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</si>
  <si>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</si>
  <si>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</si>
  <si>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</si>
  <si>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</si>
  <si>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</si>
  <si>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</si>
  <si>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</si>
  <si>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</si>
  <si>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</si>
  <si>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</si>
  <si>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</si>
  <si>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</si>
  <si>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</si>
  <si>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</si>
  <si>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</si>
  <si>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</si>
  <si>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</si>
  <si>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</si>
  <si>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</si>
  <si>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</si>
  <si>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</si>
  <si>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</si>
  <si>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</si>
  <si>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</si>
  <si>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</si>
  <si>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</si>
  <si>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</si>
  <si>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</si>
  <si>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</si>
  <si>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</si>
  <si>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</si>
  <si>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</si>
  <si>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</si>
  <si>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</si>
  <si>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</si>
  <si>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</si>
  <si>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</si>
  <si>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</si>
  <si>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</si>
  <si>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</si>
  <si>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</si>
  <si>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</si>
  <si>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</si>
  <si>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</si>
  <si>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</si>
  <si>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</si>
  <si>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</si>
  <si>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</si>
  <si>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</si>
  <si>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</si>
  <si>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</si>
  <si>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</si>
  <si>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</si>
  <si>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</si>
  <si>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</si>
  <si>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</si>
  <si>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</si>
  <si>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</si>
  <si>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</si>
  <si>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</si>
  <si>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</si>
  <si>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</si>
  <si>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</si>
  <si>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</si>
  <si>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</si>
  <si>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</si>
  <si>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</si>
  <si>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</si>
  <si>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</si>
  <si>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</si>
  <si>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</si>
  <si>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</si>
  <si>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</si>
  <si>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</si>
  <si>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</si>
  <si>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</si>
  <si>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</si>
  <si>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</si>
  <si>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</si>
  <si>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</si>
  <si>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</si>
  <si>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</si>
  <si>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</si>
  <si>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</si>
  <si>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</si>
  <si>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</si>
  <si>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</si>
  <si>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</si>
  <si>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</si>
  <si>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</si>
  <si>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</si>
  <si>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</si>
  <si>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</si>
  <si>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</si>
  <si>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</si>
  <si>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</si>
  <si>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</si>
  <si>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</si>
  <si>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</si>
  <si>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</si>
  <si>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</si>
  <si>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</si>
  <si>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</si>
  <si>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</si>
  <si>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</si>
  <si>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</si>
  <si>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</si>
  <si>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</si>
  <si>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</si>
  <si>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</si>
  <si>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</si>
  <si>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</si>
  <si>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</si>
  <si>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</si>
  <si>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</si>
  <si>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</si>
  <si>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</si>
  <si>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</si>
  <si>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</si>
  <si>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</si>
  <si>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</si>
  <si>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</si>
  <si>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</si>
  <si>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</si>
  <si>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</si>
  <si>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</si>
  <si>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</si>
  <si>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</si>
  <si>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</si>
  <si>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</si>
  <si>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</si>
  <si>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</si>
  <si>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</si>
  <si>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</si>
  <si>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</si>
  <si>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</si>
  <si>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</si>
  <si>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</si>
  <si>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</si>
  <si>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</si>
  <si>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</si>
  <si>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</si>
  <si>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</si>
  <si>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</si>
  <si>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</si>
  <si>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</si>
  <si>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</si>
  <si>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</si>
  <si>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</si>
  <si>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</si>
  <si>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</si>
  <si>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</si>
  <si>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</si>
  <si>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</si>
  <si>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</si>
  <si>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</si>
  <si>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</si>
  <si>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</si>
  <si>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</si>
  <si>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</si>
  <si>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</si>
  <si>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</si>
  <si>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</si>
  <si>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</si>
  <si>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</si>
  <si>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</si>
  <si>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</si>
  <si>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</si>
  <si>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</si>
  <si>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</si>
  <si>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</si>
  <si>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</si>
  <si>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</si>
  <si>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</si>
  <si>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</si>
  <si>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</si>
  <si>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</si>
  <si>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</si>
  <si>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</si>
  <si>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</si>
  <si>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</si>
  <si>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</si>
  <si>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</si>
  <si>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</si>
  <si>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</si>
  <si>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</si>
  <si>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</si>
  <si>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</si>
  <si>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</si>
  <si>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</si>
  <si>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</si>
  <si>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</si>
  <si>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</si>
  <si>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</si>
  <si>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</si>
  <si>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</si>
  <si>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</si>
  <si>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</si>
  <si>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</si>
  <si>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</si>
  <si>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</si>
  <si>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</si>
  <si>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</si>
  <si>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</si>
  <si>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</si>
  <si>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</si>
  <si>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</si>
  <si>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</si>
  <si>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</si>
  <si>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</si>
  <si>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</si>
  <si>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</si>
  <si>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</si>
  <si>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</si>
  <si>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</si>
  <si>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</si>
  <si>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</si>
  <si>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</si>
  <si>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</si>
  <si>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</si>
  <si>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</si>
  <si>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</si>
  <si>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</si>
  <si>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</si>
  <si>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</si>
  <si>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</si>
  <si>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</si>
  <si>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</si>
  <si>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</si>
  <si>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</si>
  <si>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</si>
  <si>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</si>
  <si>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</si>
  <si>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</si>
  <si>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</si>
  <si>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</si>
  <si>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</si>
  <si>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</si>
  <si>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</si>
  <si>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</si>
  <si>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</si>
  <si>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</si>
  <si>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</si>
  <si>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</si>
  <si>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</si>
  <si>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</si>
  <si>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</si>
  <si>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</si>
  <si>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</si>
  <si>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</si>
  <si>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</si>
  <si>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</si>
  <si>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</si>
  <si>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</si>
  <si>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</si>
  <si>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</si>
  <si>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</si>
  <si>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</si>
  <si>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</si>
  <si>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</si>
  <si>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</si>
  <si>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</si>
  <si>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</si>
  <si>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</si>
  <si>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</si>
  <si>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</si>
  <si>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</si>
  <si>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</si>
  <si>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</si>
  <si>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</si>
  <si>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</si>
  <si>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</si>
  <si>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</si>
  <si>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</si>
  <si>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</si>
  <si>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</si>
  <si>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</si>
  <si>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</si>
  <si>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</si>
  <si>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</si>
  <si>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</si>
  <si>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</si>
  <si>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</si>
  <si>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</si>
  <si>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</si>
  <si>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</si>
  <si>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</si>
  <si>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</si>
  <si>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</si>
  <si>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</si>
  <si>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</si>
  <si>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</si>
  <si>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</si>
  <si>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</si>
  <si>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</si>
  <si>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</si>
  <si>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</si>
  <si>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</si>
  <si>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</si>
  <si>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</si>
  <si>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</si>
  <si>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</si>
  <si>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</si>
  <si>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</si>
  <si>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</si>
  <si>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</si>
  <si>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</si>
  <si>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</si>
  <si>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</si>
  <si>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</si>
  <si>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</si>
  <si>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</si>
  <si>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</si>
  <si>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</si>
  <si>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</si>
  <si>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</si>
  <si>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</si>
  <si>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</si>
  <si>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</si>
  <si>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</si>
  <si>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</si>
  <si>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</si>
  <si>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</si>
  <si>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</si>
  <si>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</si>
  <si>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</si>
  <si>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</si>
  <si>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</si>
  <si>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</si>
  <si>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</si>
  <si>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</si>
  <si>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</si>
  <si>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</si>
  <si>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</si>
  <si>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</si>
  <si>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</si>
  <si>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</si>
  <si>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</si>
  <si>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</si>
  <si>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</si>
  <si>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</si>
  <si>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</si>
  <si>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</si>
  <si>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</si>
  <si>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</si>
  <si>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</si>
  <si>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</si>
  <si>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</si>
  <si>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</si>
  <si>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</si>
  <si>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</si>
  <si>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</si>
  <si>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</si>
  <si>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</si>
  <si>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</si>
  <si>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</si>
  <si>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</si>
  <si>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</si>
  <si>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</si>
  <si>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</si>
  <si>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</si>
  <si>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</si>
  <si>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</si>
  <si>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</si>
  <si>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</si>
  <si>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</si>
  <si>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</si>
  <si>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</si>
  <si>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</si>
  <si>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</si>
  <si>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</si>
  <si>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</si>
  <si>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</si>
  <si>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</si>
  <si>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</si>
  <si>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</si>
  <si>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</si>
  <si>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</si>
  <si>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</si>
  <si>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</si>
  <si>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</si>
  <si>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</si>
  <si>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</si>
  <si>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</si>
  <si>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</si>
  <si>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</si>
  <si>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</si>
  <si>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</si>
  <si>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</si>
  <si>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</si>
  <si>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</si>
  <si>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</si>
  <si>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</si>
  <si>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</si>
  <si>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</si>
  <si>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</si>
  <si>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</si>
  <si>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</si>
  <si>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</si>
  <si>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</si>
  <si>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</si>
  <si>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</si>
  <si>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</si>
  <si>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</si>
  <si>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</si>
  <si>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</si>
  <si>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</si>
  <si>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</si>
  <si>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</si>
  <si>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</si>
  <si>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</si>
  <si>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</si>
  <si>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</si>
  <si>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</si>
  <si>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</si>
  <si>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</si>
  <si>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</si>
  <si>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</si>
  <si>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</si>
  <si>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</si>
  <si>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</si>
  <si>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</si>
  <si>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</si>
  <si>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</si>
  <si>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</si>
  <si>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</si>
  <si>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</si>
  <si>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</si>
  <si>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</si>
  <si>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</si>
  <si>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</si>
  <si>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</si>
  <si>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</si>
  <si>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</si>
  <si>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</si>
  <si>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</si>
  <si>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</si>
  <si>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</si>
  <si>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</si>
  <si>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</si>
  <si>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</si>
  <si>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</si>
  <si>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</si>
  <si>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</si>
  <si>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</si>
  <si>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</si>
  <si>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</si>
  <si>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</si>
  <si>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</si>
  <si>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</si>
  <si>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</si>
  <si>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</si>
  <si>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</si>
  <si>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</si>
  <si>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</si>
  <si>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</si>
  <si>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</si>
  <si>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</si>
  <si>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</si>
  <si>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</si>
  <si>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</si>
  <si>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</si>
  <si>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</si>
  <si>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</si>
  <si>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</si>
  <si>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</si>
  <si>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</si>
  <si>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</si>
  <si>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</si>
  <si>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</si>
  <si>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</si>
  <si>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</si>
  <si>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</si>
  <si>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</si>
  <si>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</si>
  <si>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</si>
  <si>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</si>
  <si>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</si>
  <si>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</si>
  <si>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</si>
  <si>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</si>
  <si>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</si>
  <si>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</si>
  <si>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</si>
  <si>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</si>
  <si>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</si>
  <si>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</si>
  <si>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</si>
  <si>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</si>
  <si>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</si>
  <si>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</si>
  <si>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</si>
  <si>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</si>
  <si>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</si>
  <si>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</si>
  <si>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</si>
  <si>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</si>
  <si>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</si>
  <si>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</si>
  <si>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</si>
  <si>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</si>
  <si>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</si>
  <si>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</si>
  <si>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</si>
  <si>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</si>
  <si>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</si>
  <si>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</si>
  <si>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</si>
  <si>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</si>
  <si>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</si>
  <si>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</si>
  <si>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</si>
  <si>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</si>
  <si>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</si>
  <si>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</si>
  <si>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</si>
  <si>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</si>
  <si>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</si>
  <si>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</si>
  <si>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</si>
  <si>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</si>
  <si>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</si>
  <si>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</si>
  <si>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</si>
  <si>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</si>
  <si>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</si>
  <si>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</si>
  <si>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</si>
  <si>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</si>
  <si>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</si>
  <si>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</si>
  <si>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</si>
  <si>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</si>
  <si>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</si>
  <si>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</si>
  <si>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</si>
  <si>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</si>
  <si>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</si>
  <si>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</si>
  <si>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</si>
  <si>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</si>
  <si>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</si>
  <si>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</si>
  <si>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</si>
  <si>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</si>
  <si>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</si>
  <si>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</si>
  <si>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</si>
  <si>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</si>
  <si>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</si>
  <si>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</si>
  <si>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</si>
  <si>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</si>
  <si>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</si>
  <si>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</si>
  <si>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</si>
  <si>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</si>
  <si>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</si>
  <si>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</si>
  <si>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</si>
  <si>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</si>
  <si>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</si>
  <si>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</si>
  <si>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</si>
  <si>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</si>
  <si>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</si>
  <si>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</si>
  <si>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</si>
  <si>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</si>
  <si>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</si>
  <si>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</si>
  <si>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</si>
  <si>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</si>
  <si>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</si>
  <si>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</si>
  <si>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</si>
  <si>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</si>
  <si>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</si>
  <si>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</si>
  <si>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</si>
  <si>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</si>
  <si>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</si>
  <si>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</si>
  <si>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</si>
  <si>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</si>
  <si>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</si>
  <si>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</si>
  <si>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</si>
  <si>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</si>
  <si>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</si>
  <si>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</si>
  <si>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</si>
  <si>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</si>
  <si>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</si>
  <si>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</si>
  <si>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</si>
  <si>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</si>
  <si>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</si>
  <si>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</si>
  <si>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</si>
  <si>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</si>
  <si>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</si>
  <si>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</si>
  <si>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</si>
  <si>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</si>
  <si>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</si>
  <si>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</si>
  <si>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</si>
  <si>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</si>
  <si>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</si>
  <si>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</si>
  <si>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</si>
  <si>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</si>
  <si>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</si>
  <si>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</si>
  <si>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</si>
  <si>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</si>
  <si>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</si>
  <si>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</si>
  <si>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</si>
  <si>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</si>
  <si>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</si>
  <si>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</si>
  <si>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</si>
  <si>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</si>
  <si>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</si>
  <si>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</si>
  <si>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</si>
  <si>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</si>
  <si>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</si>
  <si>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</si>
  <si>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</si>
  <si>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</si>
  <si>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</si>
  <si>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</si>
  <si>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</si>
  <si>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</si>
  <si>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</si>
  <si>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</si>
  <si>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</si>
  <si>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</si>
  <si>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</si>
  <si>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</si>
  <si>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</si>
  <si>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</si>
  <si>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</si>
  <si>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</si>
  <si>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</si>
  <si>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</si>
  <si>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</si>
  <si>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</si>
  <si>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</si>
  <si>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</si>
  <si>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</si>
  <si>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</si>
  <si>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</si>
  <si>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</si>
  <si>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</si>
  <si>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</si>
  <si>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</si>
  <si>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</si>
  <si>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</si>
  <si>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</si>
  <si>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</si>
  <si>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</si>
  <si>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</si>
  <si>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</si>
  <si>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</si>
  <si>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</si>
  <si>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</si>
  <si>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</si>
  <si>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</si>
  <si>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</si>
  <si>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</si>
  <si>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</si>
  <si>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</si>
  <si>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</si>
  <si>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</si>
  <si>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</si>
  <si>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</si>
  <si>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</si>
  <si>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</si>
  <si>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</si>
  <si>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</si>
  <si>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</si>
  <si>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</si>
  <si>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</si>
  <si>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</si>
  <si>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</si>
  <si>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</si>
  <si>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</si>
  <si>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</si>
  <si>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</si>
  <si>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</si>
  <si>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</si>
  <si>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</si>
  <si>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</si>
  <si>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</si>
  <si>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</si>
  <si>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</si>
  <si>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</si>
  <si>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</si>
  <si>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</si>
  <si>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</si>
  <si>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</si>
  <si>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</si>
  <si>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</si>
  <si>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</si>
  <si>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</si>
  <si>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</si>
  <si>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</si>
  <si>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</si>
  <si>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</si>
  <si>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</si>
  <si>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</si>
  <si>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</si>
  <si>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</si>
  <si>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</si>
  <si>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</si>
  <si>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</si>
  <si>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</si>
  <si>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</si>
  <si>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</si>
  <si>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</si>
  <si>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</si>
  <si>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</si>
  <si>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</si>
  <si>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</si>
  <si>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</si>
  <si>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</si>
  <si>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</si>
  <si>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</si>
  <si>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</si>
  <si>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</si>
  <si>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</si>
  <si>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</si>
  <si>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</si>
  <si>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</si>
  <si>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</si>
  <si>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</si>
  <si>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</si>
  <si>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</si>
  <si>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</si>
  <si>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</si>
  <si>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</si>
  <si>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</si>
  <si>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</si>
  <si>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</si>
  <si>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</si>
  <si>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</si>
  <si>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</si>
  <si>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</si>
  <si>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</si>
  <si>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</si>
  <si>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</si>
  <si>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</si>
  <si>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</si>
  <si>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</si>
  <si>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</si>
  <si>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</si>
  <si>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</si>
  <si>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</si>
  <si>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</si>
  <si>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</si>
  <si>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</si>
  <si>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</si>
  <si>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</si>
  <si>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</si>
  <si>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</si>
  <si>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</si>
  <si>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</si>
  <si>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</si>
  <si>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</si>
  <si>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</si>
  <si>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</si>
  <si>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</si>
  <si>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</si>
  <si>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</si>
  <si>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</si>
  <si>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</si>
  <si>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</si>
  <si>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</si>
  <si>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</si>
  <si>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</si>
  <si>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</si>
  <si>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</si>
  <si>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</si>
  <si>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</si>
  <si>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</si>
  <si>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</si>
  <si>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</si>
  <si>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</si>
  <si>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</si>
  <si>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</si>
  <si>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</si>
  <si>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</si>
  <si>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</si>
  <si>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</si>
  <si>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</si>
  <si>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</si>
  <si>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</si>
  <si>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</si>
  <si>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</si>
  <si>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</si>
  <si>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</si>
  <si>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</si>
  <si>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</si>
  <si>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</si>
  <si>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</si>
  <si>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</si>
  <si>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</si>
  <si>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</si>
  <si>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</si>
  <si>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</si>
  <si>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</si>
  <si>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</si>
  <si>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</si>
  <si>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</si>
  <si>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</si>
  <si>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</si>
  <si>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</si>
  <si>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</si>
  <si>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</si>
  <si>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</si>
  <si>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</si>
  <si>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</si>
  <si>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</si>
  <si>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</si>
  <si>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</si>
  <si>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</si>
  <si>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</si>
  <si>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</si>
  <si>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</si>
  <si>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</si>
  <si>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</si>
  <si>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</si>
  <si>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</si>
  <si>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</si>
  <si>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</si>
  <si>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</si>
  <si>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</si>
  <si>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</si>
  <si>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</si>
  <si>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</si>
  <si>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</si>
  <si>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</si>
  <si>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</si>
  <si>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</si>
  <si>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</si>
  <si>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</si>
  <si>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</si>
  <si>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</si>
  <si>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</si>
  <si>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</si>
  <si>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</si>
  <si>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</si>
  <si>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</si>
  <si>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</si>
  <si>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</si>
  <si>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</si>
  <si>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</si>
  <si>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</si>
  <si>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</si>
  <si>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</si>
  <si>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</si>
  <si>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</si>
  <si>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</si>
  <si>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</si>
  <si>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</si>
  <si>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</si>
  <si>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</si>
  <si>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</si>
  <si>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</si>
  <si>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</si>
  <si>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</si>
  <si>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</si>
  <si>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</si>
  <si>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</si>
  <si>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</si>
  <si>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</si>
  <si>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</si>
  <si>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</si>
  <si>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</si>
  <si>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</si>
  <si>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</si>
  <si>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</si>
  <si>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</si>
  <si>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</si>
  <si>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</si>
  <si>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</si>
  <si>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</si>
  <si>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</si>
  <si>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</si>
  <si>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</si>
  <si>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</si>
  <si>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</si>
  <si>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</si>
  <si>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</si>
  <si>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</si>
  <si>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</si>
  <si>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</si>
  <si>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</si>
  <si>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</si>
  <si>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</si>
  <si>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</si>
  <si>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</si>
  <si>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</si>
  <si>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</si>
  <si>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</si>
  <si>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</si>
  <si>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</si>
  <si>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</si>
  <si>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</si>
  <si>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</si>
  <si>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</si>
  <si>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</si>
  <si>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</si>
  <si>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</si>
  <si>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</si>
  <si>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</si>
  <si>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</si>
  <si>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</si>
  <si>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</si>
  <si>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</si>
  <si>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</si>
  <si>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</si>
  <si>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</si>
  <si>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</si>
  <si>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</si>
  <si>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</si>
  <si>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</si>
  <si>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</si>
  <si>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</si>
  <si>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</si>
  <si>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</si>
  <si>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</si>
  <si>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</si>
  <si>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</si>
  <si>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</si>
  <si>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</si>
  <si>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</si>
  <si>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</si>
  <si>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</si>
  <si>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</si>
  <si>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</si>
  <si>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</si>
  <si>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</si>
  <si>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</si>
  <si>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</si>
  <si>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</si>
  <si>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</si>
  <si>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</si>
  <si>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</si>
  <si>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</si>
  <si>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</si>
  <si>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</si>
  <si>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</si>
  <si>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</si>
  <si>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</si>
  <si>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</si>
  <si>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</si>
  <si>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</si>
  <si>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</si>
  <si>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</si>
  <si>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</si>
  <si>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</si>
  <si>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</si>
  <si>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</si>
  <si>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</si>
  <si>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</si>
  <si>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</si>
  <si>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</si>
  <si>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</si>
  <si>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</si>
  <si>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</si>
  <si>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</si>
  <si>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</si>
  <si>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</si>
  <si>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</si>
  <si>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</si>
  <si>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</si>
  <si>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</si>
  <si>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</si>
  <si>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</si>
  <si>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</si>
  <si>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</si>
  <si>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</si>
  <si>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</si>
  <si>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</si>
  <si>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</si>
  <si>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</si>
  <si>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</si>
  <si>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</si>
  <si>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</si>
  <si>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</si>
  <si>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</si>
  <si>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</si>
  <si>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</si>
  <si>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</si>
  <si>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</si>
  <si>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</si>
  <si>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</si>
  <si>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</si>
  <si>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</si>
  <si>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</si>
  <si>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</si>
  <si>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</si>
  <si>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</si>
  <si>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</si>
  <si>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</si>
  <si>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</si>
  <si>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</si>
  <si>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</si>
  <si>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</si>
  <si>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</si>
  <si>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</si>
  <si>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</si>
  <si>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</si>
  <si>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</si>
  <si>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</si>
  <si>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</si>
  <si>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</si>
  <si>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</si>
  <si>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</si>
  <si>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</si>
  <si>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</si>
  <si>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</si>
  <si>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</si>
  <si>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</si>
  <si>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</si>
  <si>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</si>
  <si>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</si>
  <si>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</si>
  <si>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</si>
  <si>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</si>
  <si>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</si>
  <si>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</si>
  <si>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</si>
  <si>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</si>
  <si>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</si>
  <si>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</si>
  <si>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</si>
  <si>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</si>
  <si>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</si>
  <si>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</si>
  <si>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</si>
  <si>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</si>
  <si>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</si>
  <si>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</si>
  <si>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</si>
  <si>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</si>
  <si>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</si>
  <si>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</si>
  <si>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</si>
  <si>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</si>
  <si>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</si>
  <si>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</si>
  <si>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</si>
  <si>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</si>
  <si>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</si>
  <si>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</si>
  <si>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</si>
  <si>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</si>
  <si>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</si>
  <si>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</si>
  <si>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</si>
  <si>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</si>
  <si>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</si>
  <si>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</si>
  <si>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</si>
  <si>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</si>
  <si>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</si>
  <si>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</si>
  <si>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</si>
  <si>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</si>
  <si>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</si>
  <si>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</si>
  <si>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</si>
  <si>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</si>
  <si>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</si>
  <si>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</si>
  <si>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</si>
  <si>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</si>
  <si>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</si>
  <si>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</si>
  <si>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</si>
  <si>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</si>
  <si>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</si>
  <si>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</si>
  <si>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</si>
  <si>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</si>
  <si>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</si>
  <si>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</si>
  <si>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</si>
  <si>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</si>
  <si>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</si>
  <si>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</si>
  <si>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</si>
  <si>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</si>
  <si>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</si>
  <si>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</si>
  <si>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</si>
  <si>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</si>
  <si>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</si>
  <si>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</si>
  <si>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</si>
  <si>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</si>
  <si>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</si>
  <si>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</si>
  <si>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</si>
  <si>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</si>
  <si>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</si>
  <si>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</si>
  <si>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</si>
  <si>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</si>
  <si>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</si>
  <si>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</si>
  <si>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</si>
  <si>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</si>
  <si>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</si>
  <si>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</si>
  <si>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</si>
  <si>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</si>
  <si>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</si>
  <si>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</si>
  <si>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</si>
  <si>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</si>
  <si>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</si>
  <si>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</si>
  <si>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</si>
  <si>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</si>
  <si>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</si>
  <si>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</si>
  <si>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</si>
  <si>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</si>
  <si>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</si>
  <si>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</si>
  <si>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</si>
  <si>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</si>
  <si>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</si>
  <si>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</si>
  <si>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</si>
  <si>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</si>
  <si>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</si>
  <si>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</si>
  <si>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</si>
  <si>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</si>
  <si>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</si>
  <si>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</si>
  <si>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</si>
  <si>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</si>
  <si>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</si>
  <si>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</si>
  <si>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</si>
  <si>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</si>
  <si>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</si>
  <si>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</si>
  <si>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</si>
  <si>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</si>
  <si>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</si>
  <si>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</si>
  <si>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</si>
  <si>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</si>
  <si>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</si>
  <si>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</si>
  <si>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</si>
  <si>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</si>
  <si>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</si>
  <si>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</si>
  <si>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</si>
  <si>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</si>
  <si>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</si>
  <si>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</si>
  <si>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</si>
  <si>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</si>
  <si>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</si>
  <si>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</si>
  <si>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</si>
  <si>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</si>
  <si>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</si>
  <si>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</si>
  <si>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</si>
  <si>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</si>
  <si>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</si>
  <si>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</si>
  <si>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</si>
  <si>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</si>
  <si>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</si>
  <si>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</si>
  <si>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</si>
  <si>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</si>
  <si>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</si>
  <si>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</si>
  <si>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</si>
  <si>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</si>
  <si>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</si>
  <si>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</si>
  <si>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</si>
  <si>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</si>
  <si>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</si>
  <si>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</si>
  <si>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</si>
  <si>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</si>
  <si>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</si>
  <si>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</si>
  <si>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</si>
  <si>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</si>
  <si>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</si>
  <si>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</si>
  <si>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</si>
  <si>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</si>
  <si>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</si>
  <si>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</si>
  <si>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</si>
  <si>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</si>
  <si>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</si>
  <si>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</si>
  <si>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</si>
  <si>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</si>
  <si>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</si>
  <si>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</si>
  <si>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</si>
  <si>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</si>
  <si>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</si>
  <si>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</si>
  <si>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</si>
  <si>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</si>
  <si>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</si>
  <si>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</si>
  <si>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</si>
  <si>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</si>
  <si>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</si>
  <si>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</si>
  <si>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</si>
  <si>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</si>
  <si>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</si>
  <si>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</si>
  <si>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</si>
  <si>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</si>
  <si>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</si>
  <si>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</si>
  <si>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</si>
  <si>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</si>
  <si>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</si>
  <si>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</si>
  <si>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</si>
  <si>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</si>
  <si>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</si>
  <si>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</si>
  <si>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</si>
  <si>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</si>
  <si>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</si>
  <si>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</si>
  <si>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</si>
  <si>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</si>
  <si>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</si>
  <si>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</si>
  <si>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</si>
  <si>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</si>
  <si>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</si>
  <si>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</si>
  <si>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</si>
  <si>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</si>
  <si>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</si>
  <si>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</si>
  <si>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</si>
  <si>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</si>
  <si>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</si>
  <si>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</si>
  <si>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</si>
  <si>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</si>
  <si>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</si>
  <si>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</si>
  <si>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</si>
  <si>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</si>
  <si>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</si>
  <si>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</si>
  <si>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</si>
  <si>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</si>
  <si>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</si>
  <si>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</si>
  <si>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</si>
  <si>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</si>
  <si>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</si>
  <si>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</si>
  <si>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</si>
  <si>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</si>
  <si>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</si>
  <si>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</si>
  <si>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</si>
  <si>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</si>
  <si>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</si>
  <si>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</si>
  <si>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</si>
  <si>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</si>
  <si>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</si>
  <si>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</si>
  <si>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</si>
  <si>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</si>
  <si>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</si>
  <si>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</si>
  <si>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</si>
  <si>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</si>
  <si>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</si>
  <si>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</si>
  <si>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</si>
  <si>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</si>
  <si>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</si>
  <si>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</si>
  <si>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</si>
  <si>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</si>
  <si>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</si>
  <si>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</si>
  <si>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</si>
  <si>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</si>
  <si>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</si>
  <si>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</si>
  <si>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</si>
  <si>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</si>
  <si>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</si>
  <si>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</si>
  <si>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</si>
  <si>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</si>
  <si>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</si>
  <si>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</si>
  <si>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</si>
  <si>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</si>
  <si>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</si>
  <si>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</si>
  <si>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</si>
  <si>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</si>
  <si>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</si>
  <si>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</si>
  <si>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</si>
  <si>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</si>
  <si>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</si>
  <si>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</si>
  <si>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</si>
  <si>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</si>
  <si>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</si>
  <si>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</si>
  <si>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</si>
  <si>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</si>
  <si>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</si>
  <si>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</si>
  <si>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</si>
  <si>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</si>
  <si>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</si>
  <si>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</si>
  <si>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</si>
  <si>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</si>
  <si>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</si>
  <si>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</si>
  <si>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</si>
  <si>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</si>
  <si>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</si>
  <si>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</si>
  <si>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</si>
  <si>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</si>
  <si>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</si>
  <si>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</si>
  <si>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</si>
  <si>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</si>
  <si>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</si>
  <si>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</si>
  <si>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</si>
  <si>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</si>
  <si>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</si>
  <si>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</si>
  <si>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</si>
  <si>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</si>
  <si>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</si>
  <si>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</si>
  <si>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</si>
  <si>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</si>
  <si>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</si>
  <si>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</si>
  <si>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</si>
  <si>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</si>
  <si>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</si>
  <si>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</si>
  <si>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</si>
  <si>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</si>
  <si>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</si>
  <si>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</si>
  <si>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</si>
  <si>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</si>
  <si>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</si>
  <si>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</si>
  <si>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</si>
  <si>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</si>
  <si>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</si>
  <si>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</si>
  <si>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</si>
  <si>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</si>
  <si>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</si>
  <si>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</si>
  <si>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</si>
  <si>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</si>
  <si>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</si>
  <si>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</si>
  <si>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</si>
  <si>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</si>
  <si>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</si>
  <si>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</si>
  <si>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</si>
  <si>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</si>
  <si>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</si>
  <si>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</si>
  <si>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</si>
  <si>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</si>
  <si>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</si>
  <si>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</si>
  <si>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</si>
  <si>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</si>
  <si>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</si>
  <si>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</si>
  <si>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</si>
  <si>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</si>
  <si>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</si>
  <si>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</si>
  <si>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</si>
  <si>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</si>
  <si>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</si>
  <si>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</si>
  <si>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</si>
  <si>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</si>
  <si>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</si>
  <si>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</si>
  <si>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</si>
  <si>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</si>
  <si>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</si>
  <si>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</si>
  <si>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</si>
  <si>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</si>
  <si>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</si>
  <si>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</si>
  <si>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</si>
  <si>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</si>
  <si>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</si>
  <si>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</si>
  <si>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</si>
  <si>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</si>
  <si>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</si>
  <si>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</si>
  <si>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</si>
  <si>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</si>
  <si>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</si>
  <si>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</si>
  <si>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</si>
  <si>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</si>
  <si>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</si>
  <si>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</si>
  <si>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</si>
  <si>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</si>
  <si>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</si>
  <si>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</si>
  <si>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</si>
  <si>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</si>
  <si>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</si>
  <si>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</si>
  <si>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</si>
  <si>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</si>
  <si>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</si>
  <si>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</si>
  <si>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</si>
  <si>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</si>
  <si>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</si>
  <si>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</si>
  <si>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</si>
  <si>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</si>
  <si>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</si>
  <si>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</si>
  <si>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</si>
  <si>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</si>
  <si>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</si>
  <si>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</si>
  <si>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</si>
  <si>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</si>
  <si>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</si>
  <si>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</si>
  <si>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</si>
  <si>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</si>
  <si>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</si>
  <si>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</si>
  <si>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</si>
  <si>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</si>
  <si>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</si>
  <si>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</si>
  <si>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</si>
  <si>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</si>
  <si>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</si>
  <si>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</si>
  <si>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</si>
  <si>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</si>
  <si>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</si>
  <si>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</si>
  <si>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</si>
  <si>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</si>
  <si>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</si>
  <si>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</si>
  <si>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</si>
  <si>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</si>
  <si>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</si>
  <si>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</si>
  <si>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</si>
  <si>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</si>
  <si>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</si>
  <si>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</si>
  <si>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</si>
  <si>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</si>
  <si>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</si>
  <si>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</si>
  <si>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</si>
  <si>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</si>
  <si>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</si>
  <si>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</si>
  <si>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</si>
  <si>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</si>
  <si>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</si>
  <si>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</si>
  <si>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</si>
  <si>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</si>
  <si>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</si>
  <si>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</si>
  <si>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</si>
  <si>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</si>
  <si>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</si>
  <si>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</si>
  <si>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</si>
  <si>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</si>
  <si>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</si>
  <si>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</si>
  <si>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</si>
  <si>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</si>
  <si>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</si>
  <si>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</si>
  <si>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</si>
  <si>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</si>
  <si>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</si>
  <si>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</si>
  <si>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</si>
  <si>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</si>
  <si>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</si>
  <si>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</si>
  <si>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</si>
  <si>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</si>
  <si>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</si>
  <si>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</si>
  <si>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</si>
  <si>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</si>
  <si>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</si>
  <si>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</si>
  <si>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</si>
  <si>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</si>
  <si>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</si>
  <si>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</si>
  <si>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</si>
  <si>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</si>
  <si>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</si>
  <si>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</si>
  <si>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</si>
  <si>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</si>
  <si>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</si>
  <si>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</si>
  <si>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</si>
  <si>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</si>
  <si>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</si>
  <si>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</si>
  <si>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</si>
  <si>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</si>
  <si>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</si>
  <si>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</si>
  <si>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</si>
  <si>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</si>
  <si>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</si>
  <si>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</si>
  <si>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</si>
  <si>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</si>
  <si>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</si>
  <si>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</si>
  <si>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</si>
  <si>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</si>
  <si>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</si>
  <si>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</si>
  <si>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</si>
  <si>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</si>
  <si>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</si>
  <si>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</si>
  <si>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</si>
  <si>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</si>
  <si>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</si>
  <si>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</si>
  <si>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</si>
  <si>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</si>
  <si>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</si>
  <si>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</si>
  <si>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</si>
  <si>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</si>
  <si>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</si>
  <si>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</si>
  <si>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</si>
  <si>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</si>
  <si>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</si>
  <si>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</si>
  <si>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</si>
  <si>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</si>
  <si>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</si>
  <si>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</si>
  <si>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</si>
  <si>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</si>
  <si>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</si>
  <si>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</si>
  <si>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</si>
  <si>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</si>
  <si>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</si>
  <si>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</si>
  <si>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</si>
  <si>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</si>
  <si>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</si>
  <si>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</si>
  <si>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</si>
  <si>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</si>
  <si>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</si>
  <si>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</si>
  <si>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</si>
  <si>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</si>
  <si>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</si>
  <si>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</si>
  <si>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</si>
  <si>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</si>
  <si>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</si>
  <si>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</si>
  <si>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</si>
  <si>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</si>
  <si>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</si>
  <si>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</si>
  <si>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</si>
  <si>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</si>
  <si>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</si>
  <si>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</si>
  <si>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</si>
  <si>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</si>
  <si>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</si>
  <si>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</si>
  <si>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</si>
  <si>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</si>
  <si>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</si>
  <si>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</si>
  <si>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</si>
  <si>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</si>
  <si>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</si>
  <si>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</si>
  <si>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</si>
  <si>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</si>
  <si>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</si>
  <si>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</si>
  <si>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</si>
  <si>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</si>
  <si>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</si>
  <si>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</si>
  <si>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</si>
  <si>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</si>
  <si>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</si>
  <si>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</si>
  <si>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</si>
  <si>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</si>
  <si>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</si>
  <si>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</si>
  <si>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</si>
  <si>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</si>
  <si>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</si>
  <si>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</si>
  <si>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</si>
  <si>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</si>
  <si>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</si>
  <si>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</si>
  <si>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</si>
  <si>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</si>
  <si>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</si>
  <si>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</si>
  <si>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</si>
  <si>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</si>
  <si>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</si>
  <si>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</si>
  <si>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</si>
  <si>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</si>
  <si>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</si>
  <si>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</si>
  <si>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</si>
  <si>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</si>
  <si>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</si>
  <si>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</si>
  <si>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</si>
  <si>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</si>
  <si>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</si>
  <si>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</si>
  <si>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</si>
  <si>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</si>
  <si>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</si>
  <si>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</si>
  <si>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</si>
  <si>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</si>
  <si>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</si>
  <si>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</si>
  <si>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</si>
  <si>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</si>
  <si>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</si>
  <si>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</si>
  <si>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</si>
  <si>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</si>
  <si>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</si>
  <si>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</si>
  <si>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</si>
  <si>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</si>
  <si>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</si>
  <si>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</si>
  <si>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</si>
  <si>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</si>
  <si>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</si>
  <si>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</si>
  <si>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</si>
  <si>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</si>
  <si>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</si>
  <si>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</si>
  <si>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</si>
  <si>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</si>
  <si>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</si>
  <si>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</si>
  <si>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</si>
  <si>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</si>
  <si>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</si>
  <si>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</si>
  <si>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</si>
  <si>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</si>
  <si>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</si>
  <si>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</si>
  <si>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</si>
  <si>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</si>
  <si>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</si>
  <si>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</si>
  <si>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</si>
  <si>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</si>
  <si>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</si>
  <si>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</si>
  <si>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</si>
  <si>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</si>
  <si>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</si>
  <si>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</si>
  <si>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</si>
  <si>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</si>
  <si>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</si>
  <si>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</si>
  <si>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</si>
  <si>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</si>
  <si>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</si>
  <si>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</si>
  <si>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</si>
  <si>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</si>
  <si>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</si>
  <si>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</si>
  <si>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</si>
  <si>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</si>
  <si>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</si>
  <si>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</si>
  <si>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</si>
  <si>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</si>
  <si>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</si>
  <si>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</si>
  <si>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</si>
  <si>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</si>
  <si>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</si>
  <si>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</si>
  <si>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</si>
  <si>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</si>
  <si>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</si>
  <si>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</si>
  <si>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</si>
  <si>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</si>
  <si>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</si>
  <si>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</si>
  <si>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</si>
  <si>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</si>
  <si>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</si>
  <si>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</si>
  <si>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</si>
  <si>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</si>
  <si>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</si>
  <si>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</si>
  <si>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</si>
  <si>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</si>
  <si>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</si>
  <si>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</si>
  <si>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</si>
  <si>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</si>
  <si>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</si>
  <si>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</si>
  <si>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</si>
  <si>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</si>
  <si>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</si>
  <si>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</si>
  <si>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</si>
  <si>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</si>
  <si>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</si>
  <si>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</si>
  <si>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</si>
  <si>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</si>
  <si>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</si>
  <si>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</si>
  <si>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</si>
  <si>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</si>
  <si>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</si>
  <si>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</si>
  <si>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</si>
  <si>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</si>
  <si>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</si>
  <si>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</si>
  <si>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</si>
  <si>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</si>
  <si>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</si>
  <si>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</si>
  <si>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</si>
  <si>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</si>
  <si>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</si>
  <si>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</si>
  <si>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</si>
  <si>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</si>
  <si>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</si>
  <si>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</si>
  <si>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</si>
  <si>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</si>
  <si>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</si>
  <si>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</si>
  <si>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</si>
  <si>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</si>
  <si>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</si>
  <si>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</si>
  <si>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</si>
  <si>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</si>
  <si>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</si>
  <si>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</si>
  <si>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</si>
  <si>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</si>
  <si>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</si>
  <si>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</si>
  <si>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</si>
  <si>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</si>
  <si>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</si>
  <si>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</si>
  <si>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</si>
  <si>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</si>
  <si>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</si>
  <si>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</si>
  <si>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</si>
  <si>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</si>
  <si>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</si>
  <si>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</si>
  <si>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</si>
  <si>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</si>
  <si>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</si>
  <si>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</si>
  <si>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</si>
  <si>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</si>
  <si>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</si>
  <si>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</si>
  <si>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</si>
  <si>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</si>
  <si>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</si>
  <si>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</si>
  <si>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</si>
  <si>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</si>
  <si>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</si>
  <si>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</si>
  <si>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</si>
  <si>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</si>
  <si>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</si>
  <si>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</si>
  <si>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</si>
  <si>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</si>
  <si>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</si>
  <si>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</si>
  <si>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</si>
  <si>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</si>
  <si>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</si>
  <si>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</si>
  <si>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</si>
  <si>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</si>
  <si>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</si>
  <si>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</si>
  <si>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</si>
  <si>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</si>
  <si>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</si>
  <si>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</si>
  <si>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</si>
  <si>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</si>
  <si>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</si>
  <si>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</si>
  <si>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</si>
  <si>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</si>
  <si>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</si>
  <si>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</si>
  <si>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</si>
  <si>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</si>
  <si>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</si>
  <si>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</si>
  <si>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</si>
  <si>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</si>
  <si>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</si>
  <si>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</si>
  <si>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</si>
  <si>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</si>
  <si>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</si>
  <si>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</si>
  <si>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</si>
  <si>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</si>
  <si>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</si>
  <si>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</si>
  <si>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</si>
  <si>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</si>
  <si>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</si>
  <si>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</si>
  <si>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</si>
  <si>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</si>
  <si>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</si>
  <si>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</si>
  <si>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</si>
  <si>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</si>
  <si>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</si>
  <si>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</si>
  <si>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</si>
  <si>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</si>
  <si>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</si>
  <si>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</si>
  <si>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</si>
  <si>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</si>
  <si>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</si>
  <si>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</si>
  <si>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</si>
  <si>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</si>
  <si>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</si>
  <si>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</si>
  <si>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</si>
  <si>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</si>
  <si>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</si>
  <si>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</si>
  <si>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</si>
  <si>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</si>
  <si>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</si>
  <si>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</si>
  <si>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</si>
  <si>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</si>
  <si>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</si>
  <si>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</si>
  <si>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</si>
  <si>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</si>
  <si>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</si>
  <si>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</si>
  <si>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</si>
  <si>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</si>
  <si>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</si>
  <si>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</si>
  <si>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</si>
  <si>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</si>
  <si>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</si>
  <si>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</si>
  <si>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</si>
  <si>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</si>
  <si>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</si>
  <si>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</si>
  <si>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</si>
  <si>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</si>
  <si>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</si>
  <si>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</si>
  <si>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</si>
  <si>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</si>
  <si>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</si>
  <si>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</si>
  <si>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</si>
  <si>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</si>
  <si>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</si>
  <si>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</si>
  <si>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</si>
  <si>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</si>
  <si>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</si>
  <si>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</si>
  <si>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</si>
  <si>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</si>
  <si>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</si>
  <si>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</si>
  <si>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</si>
  <si>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</si>
  <si>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</si>
  <si>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</si>
  <si>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</si>
  <si>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</si>
  <si>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</si>
  <si>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</si>
  <si>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</si>
  <si>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</si>
  <si>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</si>
  <si>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</si>
  <si>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</si>
  <si>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</si>
  <si>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</si>
  <si>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</si>
  <si>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</si>
  <si>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</si>
  <si>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</si>
  <si>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</si>
  <si>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</si>
  <si>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</si>
  <si>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</si>
  <si>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</si>
  <si>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</si>
  <si>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</si>
  <si>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</si>
  <si>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</si>
  <si>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</si>
  <si>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</si>
  <si>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</si>
  <si>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</si>
  <si>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</si>
  <si>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</si>
  <si>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</si>
  <si>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</si>
  <si>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</si>
  <si>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</si>
  <si>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</si>
  <si>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</si>
  <si>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</si>
  <si>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</si>
  <si>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</si>
  <si>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</si>
  <si>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</si>
  <si>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</si>
  <si>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</si>
  <si>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</si>
  <si>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</si>
  <si>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</si>
  <si>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</si>
  <si>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</si>
  <si>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</si>
  <si>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</si>
  <si>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</si>
  <si>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</si>
  <si>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</si>
  <si>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</si>
  <si>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</si>
  <si>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</si>
  <si>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</si>
  <si>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</si>
  <si>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</si>
  <si>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</si>
  <si>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</si>
  <si>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</si>
  <si>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</si>
  <si>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</si>
  <si>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</si>
  <si>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</si>
  <si>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</si>
  <si>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</si>
  <si>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</si>
  <si>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</si>
  <si>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</si>
  <si>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</si>
  <si>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</si>
  <si>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</si>
  <si>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</si>
  <si>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</si>
  <si>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</si>
  <si>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</si>
  <si>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</si>
  <si>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</si>
  <si>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</si>
  <si>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</si>
  <si>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</si>
  <si>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</si>
  <si>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</si>
  <si>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</si>
  <si>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</si>
  <si>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</si>
  <si>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</si>
  <si>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</si>
  <si>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</si>
  <si>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</si>
  <si>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</si>
  <si>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</si>
  <si>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</si>
  <si>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</si>
  <si>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</si>
  <si>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</si>
  <si>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</si>
  <si>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</si>
  <si>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</si>
  <si>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</si>
  <si>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</si>
  <si>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</si>
  <si>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</si>
  <si>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</si>
  <si>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</si>
  <si>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</si>
  <si>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</si>
  <si>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</si>
  <si>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</si>
  <si>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</si>
  <si>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</si>
  <si>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</si>
  <si>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</si>
  <si>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</si>
  <si>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</si>
  <si>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</si>
  <si>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</si>
  <si>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</si>
  <si>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</si>
  <si>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</si>
  <si>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</si>
  <si>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</si>
  <si>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</si>
  <si>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</si>
  <si>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</si>
  <si>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</si>
  <si>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</si>
  <si>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</si>
  <si>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</si>
  <si>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</si>
  <si>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</si>
  <si>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</si>
  <si>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</si>
  <si>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</si>
  <si>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</si>
  <si>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</si>
  <si>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</si>
  <si>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</si>
  <si>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</si>
  <si>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</si>
  <si>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</si>
  <si>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</si>
  <si>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</si>
  <si>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</si>
  <si>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</si>
  <si>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</si>
  <si>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</si>
  <si>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</si>
  <si>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</si>
  <si>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</si>
  <si>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</si>
  <si>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</si>
  <si>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</si>
  <si>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</si>
  <si>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</si>
  <si>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</si>
  <si>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</si>
  <si>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</si>
  <si>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</si>
  <si>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</si>
  <si>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</si>
  <si>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</si>
  <si>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</si>
  <si>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</si>
  <si>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</si>
  <si>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</si>
  <si>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</si>
  <si>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</si>
  <si>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</si>
  <si>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</si>
  <si>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</si>
  <si>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</si>
  <si>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</si>
  <si>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</si>
  <si>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</si>
  <si>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</si>
  <si>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</si>
  <si>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</si>
  <si>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</si>
  <si>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</si>
  <si>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</si>
  <si>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</si>
  <si>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</si>
  <si>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</si>
  <si>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</si>
  <si>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</si>
  <si>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</si>
  <si>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</si>
  <si>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</si>
  <si>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</si>
  <si>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</si>
  <si>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</si>
  <si>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</si>
  <si>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</si>
  <si>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</si>
  <si>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</si>
  <si>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</si>
  <si>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</si>
  <si>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</si>
  <si>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</si>
  <si>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</si>
  <si>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</si>
  <si>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</si>
  <si>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</si>
  <si>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</si>
  <si>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</si>
  <si>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</si>
  <si>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</si>
  <si>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</si>
  <si>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</si>
  <si>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</si>
  <si>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</si>
  <si>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</si>
  <si>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</si>
  <si>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</si>
  <si>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</si>
  <si>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</si>
  <si>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</si>
  <si>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</si>
  <si>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</si>
  <si>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</si>
  <si>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</si>
  <si>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</si>
  <si>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</si>
  <si>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</si>
  <si>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</si>
  <si>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</si>
  <si>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</si>
  <si>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</si>
  <si>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</si>
  <si>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</si>
  <si>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</si>
  <si>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</si>
  <si>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</si>
  <si>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</si>
  <si>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</si>
  <si>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</si>
  <si>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</si>
  <si>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</si>
  <si>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</si>
  <si>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</si>
  <si>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</si>
  <si>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</si>
  <si>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</si>
  <si>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</si>
  <si>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</si>
  <si>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</si>
  <si>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</si>
  <si>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</si>
  <si>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</si>
  <si>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</si>
  <si>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</si>
  <si>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</si>
  <si>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</si>
  <si>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</si>
  <si>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</si>
  <si>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</si>
  <si>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</si>
  <si>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</si>
  <si>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</si>
  <si>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</si>
  <si>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</si>
  <si>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</si>
  <si>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</si>
  <si>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</si>
  <si>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</si>
  <si>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</si>
  <si>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</si>
  <si>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</si>
  <si>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</si>
  <si>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</si>
  <si>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</si>
  <si>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</si>
  <si>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</si>
  <si>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</si>
  <si>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</si>
  <si>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</si>
  <si>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</si>
  <si>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</si>
  <si>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</si>
  <si>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</si>
  <si>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</si>
  <si>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</si>
  <si>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</si>
  <si>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</si>
  <si>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</si>
  <si>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</si>
  <si>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</si>
  <si>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</si>
  <si>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</si>
  <si>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</si>
  <si>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</si>
  <si>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</si>
  <si>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</si>
  <si>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</si>
  <si>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</si>
  <si>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</si>
  <si>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</si>
  <si>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</si>
  <si>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</si>
  <si>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</si>
  <si>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</si>
  <si>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</si>
  <si>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</si>
  <si>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</si>
  <si>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</si>
  <si>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</si>
  <si>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</si>
  <si>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</si>
  <si>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</si>
  <si>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</si>
  <si>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</si>
  <si>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</si>
  <si>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</si>
  <si>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</si>
  <si>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</si>
  <si>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</si>
  <si>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</si>
  <si>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</si>
  <si>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</si>
  <si>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</si>
  <si>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</si>
  <si>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</si>
  <si>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</si>
  <si>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</si>
  <si>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</si>
  <si>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</si>
  <si>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</si>
  <si>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</si>
  <si>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</si>
  <si>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</si>
  <si>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</si>
  <si>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</si>
  <si>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</si>
  <si>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</si>
  <si>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</si>
  <si>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</si>
  <si>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</si>
  <si>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</si>
  <si>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</si>
  <si>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</si>
  <si>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</si>
  <si>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</si>
  <si>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</si>
  <si>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</si>
  <si>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</si>
  <si>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</si>
  <si>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</si>
  <si>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</si>
  <si>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</si>
  <si>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</si>
  <si>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</si>
  <si>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</si>
  <si>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</si>
  <si>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</si>
  <si>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</si>
  <si>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</si>
  <si>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</si>
  <si>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</si>
  <si>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</si>
  <si>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</si>
  <si>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</si>
  <si>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</si>
  <si>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</si>
  <si>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</si>
  <si>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</si>
  <si>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</si>
  <si>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</si>
  <si>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</si>
  <si>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</si>
  <si>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</si>
  <si>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</si>
  <si>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</si>
  <si>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</si>
  <si>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</si>
  <si>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</si>
  <si>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</si>
  <si>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</si>
  <si>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</si>
  <si>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</si>
  <si>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</si>
  <si>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</si>
  <si>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</si>
  <si>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</si>
  <si>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</si>
  <si>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</si>
  <si>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</si>
  <si>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</si>
  <si>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</si>
  <si>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</si>
  <si>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</si>
  <si>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</si>
  <si>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</si>
  <si>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</si>
  <si>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</si>
  <si>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</si>
  <si>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</si>
  <si>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</si>
  <si>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</si>
  <si>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</si>
  <si>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</si>
  <si>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</si>
  <si>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</si>
  <si>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</si>
  <si>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</si>
  <si>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</si>
  <si>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</si>
  <si>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</si>
  <si>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</si>
  <si>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</si>
  <si>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</si>
  <si>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</si>
  <si>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</si>
  <si>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</si>
  <si>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</si>
  <si>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</si>
  <si>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</si>
  <si>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</si>
  <si>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</si>
  <si>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</si>
  <si>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</si>
  <si>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</si>
  <si>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</si>
  <si>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</si>
  <si>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</si>
  <si>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</si>
  <si>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</si>
  <si>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</si>
  <si>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</si>
  <si>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</si>
  <si>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</si>
  <si>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</si>
  <si>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</si>
  <si>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</si>
  <si>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</si>
  <si>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</si>
  <si>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</si>
  <si>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</si>
  <si>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</si>
  <si>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</si>
  <si>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</si>
  <si>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</si>
  <si>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</si>
  <si>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</si>
  <si>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</si>
  <si>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</si>
  <si>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</si>
  <si>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</si>
  <si>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</si>
  <si>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</si>
  <si>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</si>
  <si>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</si>
  <si>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</si>
  <si>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</si>
  <si>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</si>
  <si>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</si>
  <si>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</si>
  <si>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</si>
  <si>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</si>
  <si>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</si>
  <si>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</si>
  <si>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</si>
  <si>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</si>
  <si>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</si>
  <si>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</si>
  <si>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</si>
  <si>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</si>
  <si>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</si>
  <si>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</si>
  <si>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</si>
  <si>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</si>
  <si>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</si>
  <si>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</si>
  <si>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</si>
  <si>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</si>
  <si>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</si>
  <si>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</si>
  <si>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</si>
  <si>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</si>
  <si>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</si>
  <si>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</si>
  <si>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</si>
  <si>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</si>
  <si>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</si>
  <si>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</si>
  <si>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</si>
  <si>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</si>
  <si>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</si>
  <si>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</si>
  <si>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</si>
  <si>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</si>
  <si>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</si>
  <si>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</si>
  <si>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</si>
  <si>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</si>
  <si>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</si>
  <si>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</si>
  <si>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</si>
  <si>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</si>
  <si>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</si>
  <si>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</si>
  <si>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</si>
  <si>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</si>
  <si>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</si>
  <si>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</si>
  <si>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</si>
  <si>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</si>
  <si>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</si>
  <si>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</si>
  <si>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</si>
  <si>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</si>
  <si>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</si>
  <si>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</si>
  <si>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</si>
  <si>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</si>
  <si>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</si>
  <si>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</si>
  <si>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</si>
  <si>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</si>
  <si>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</si>
  <si>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</si>
  <si>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</si>
  <si>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</si>
  <si>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</si>
  <si>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</si>
  <si>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</si>
  <si>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</si>
  <si>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</si>
  <si>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</si>
  <si>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</si>
  <si>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</si>
  <si>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</si>
  <si>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</si>
  <si>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</si>
  <si>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</si>
  <si>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</si>
  <si>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</si>
  <si>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</si>
  <si>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</si>
  <si>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</si>
  <si>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</si>
  <si>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</si>
  <si>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</si>
  <si>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</si>
  <si>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</si>
  <si>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</si>
  <si>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</si>
  <si>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</si>
  <si>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</si>
  <si>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</si>
  <si>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</si>
  <si>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</si>
  <si>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</si>
  <si>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</si>
  <si>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</si>
  <si>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</si>
  <si>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</si>
  <si>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</si>
  <si>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</si>
  <si>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</si>
  <si>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</si>
  <si>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</si>
  <si>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</si>
  <si>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</si>
  <si>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</si>
  <si>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</si>
  <si>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</si>
  <si>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</si>
  <si>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</si>
  <si>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</si>
  <si>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</si>
  <si>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</si>
  <si>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</si>
  <si>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</si>
  <si>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</si>
  <si>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</si>
  <si>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</si>
  <si>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</si>
  <si>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</si>
  <si>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</si>
  <si>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</si>
  <si>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</si>
  <si>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</si>
  <si>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</si>
  <si>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</si>
  <si>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</si>
  <si>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</si>
  <si>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</si>
  <si>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</si>
  <si>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</si>
  <si>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</si>
  <si>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</si>
  <si>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</si>
  <si>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</si>
  <si>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</si>
  <si>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</si>
  <si>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</si>
  <si>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</si>
  <si>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</si>
  <si>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</si>
  <si>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</si>
  <si>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</si>
  <si>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</si>
  <si>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</si>
  <si>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</si>
  <si>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</si>
  <si>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</si>
  <si>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</si>
  <si>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</si>
  <si>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</si>
  <si>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</si>
  <si>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</si>
  <si>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</si>
  <si>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</si>
  <si>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</si>
  <si>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</si>
  <si>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</si>
  <si>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</si>
  <si>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</si>
  <si>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</si>
  <si>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</si>
  <si>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</si>
  <si>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</si>
  <si>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</si>
  <si>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</si>
  <si>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</si>
  <si>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</si>
  <si>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</si>
  <si>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</si>
  <si>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</si>
  <si>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</si>
  <si>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</si>
  <si>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</si>
  <si>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</si>
  <si>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</si>
  <si>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</si>
  <si>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</si>
  <si>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</si>
  <si>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</si>
  <si>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</si>
  <si>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</si>
  <si>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</si>
  <si>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</si>
  <si>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</si>
  <si>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</si>
  <si>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</si>
  <si>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</si>
  <si>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</si>
  <si>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</si>
  <si>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</si>
  <si>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</si>
  <si>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</si>
  <si>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</si>
  <si>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</si>
  <si>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</si>
  <si>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</si>
  <si>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</si>
  <si>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</si>
  <si>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</si>
  <si>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</si>
  <si>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</si>
  <si>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</si>
  <si>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</si>
  <si>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</si>
  <si>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</si>
  <si>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</si>
  <si>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</si>
  <si>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</si>
  <si>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</si>
  <si>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</si>
  <si>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</si>
  <si>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</si>
  <si>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</si>
  <si>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</si>
  <si>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</si>
  <si>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</si>
  <si>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</si>
  <si>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</si>
  <si>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</si>
  <si>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</si>
  <si>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</si>
  <si>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</si>
  <si>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</si>
  <si>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</si>
  <si>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</si>
  <si>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</si>
  <si>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</si>
  <si>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</si>
  <si>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</si>
  <si>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</si>
  <si>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</si>
  <si>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</si>
  <si>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</si>
  <si>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</si>
  <si>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</si>
  <si>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</si>
  <si>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</si>
  <si>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</si>
  <si>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</si>
  <si>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</si>
  <si>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</si>
  <si>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</si>
  <si>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</si>
  <si>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</si>
  <si>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</si>
  <si>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</si>
  <si>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</si>
  <si>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</si>
  <si>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</si>
  <si>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</si>
  <si>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</si>
  <si>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</si>
  <si>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</si>
  <si>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</si>
  <si>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</si>
  <si>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</si>
  <si>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</si>
  <si>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</si>
  <si>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</si>
  <si>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</si>
  <si>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</si>
  <si>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</si>
  <si>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</si>
  <si>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</si>
  <si>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</si>
  <si>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</si>
  <si>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ID</t>
  </si>
  <si>
    <t>CUSTOMER</t>
  </si>
  <si>
    <t>EXCURSION</t>
  </si>
  <si>
    <t>DATE_OF_RESERVATION</t>
  </si>
  <si>
    <t>PEOPLE_NUM</t>
  </si>
  <si>
    <t>NAME</t>
  </si>
  <si>
    <t>MEMBERSHIP</t>
  </si>
  <si>
    <t>REGION</t>
  </si>
  <si>
    <t>ADDRESS</t>
  </si>
  <si>
    <t>NUMBER</t>
  </si>
  <si>
    <t>STATUS</t>
  </si>
  <si>
    <t>DISCOUNT</t>
  </si>
  <si>
    <t>GENDER</t>
  </si>
  <si>
    <t>SALARY</t>
  </si>
  <si>
    <t>HIRE_DATE</t>
  </si>
  <si>
    <t>DEP_DATE</t>
  </si>
  <si>
    <t>RET_DATE</t>
  </si>
  <si>
    <t>PRICE</t>
  </si>
  <si>
    <t>TRANSPORT</t>
  </si>
  <si>
    <t>LOCATION</t>
  </si>
  <si>
    <t>DESCRIPTION</t>
  </si>
  <si>
    <t>PACKAGE</t>
  </si>
  <si>
    <t>LOACTION</t>
  </si>
  <si>
    <t>TYPE</t>
  </si>
  <si>
    <t>INSURANCE</t>
  </si>
  <si>
    <t>Basic</t>
  </si>
  <si>
    <t>Platinum</t>
  </si>
  <si>
    <t>Y</t>
  </si>
  <si>
    <t>N</t>
  </si>
  <si>
    <t>INSURANCE_PRICE</t>
  </si>
  <si>
    <t>Airplane</t>
  </si>
  <si>
    <t>Bus</t>
  </si>
  <si>
    <t>Train</t>
  </si>
  <si>
    <t>Mini Van</t>
  </si>
  <si>
    <t>Boat</t>
  </si>
  <si>
    <t>Car</t>
  </si>
  <si>
    <t>Aruba</t>
  </si>
  <si>
    <t>Jamaica</t>
  </si>
  <si>
    <t>Bahama</t>
  </si>
  <si>
    <t>Bermuda</t>
  </si>
  <si>
    <t>Keylargo</t>
  </si>
  <si>
    <t>Montego</t>
  </si>
  <si>
    <t>Goa</t>
  </si>
  <si>
    <t>Aspen</t>
  </si>
  <si>
    <t>Vermont</t>
  </si>
  <si>
    <t>Rural</t>
  </si>
  <si>
    <t xml:space="preserve">Urban </t>
  </si>
  <si>
    <t>Tropical</t>
  </si>
  <si>
    <t>Mountain</t>
  </si>
  <si>
    <t>Rome</t>
  </si>
  <si>
    <t>London</t>
  </si>
  <si>
    <t>Berlin</t>
  </si>
  <si>
    <t>Belgrade</t>
  </si>
  <si>
    <t>New York</t>
  </si>
  <si>
    <t>Kopaonik</t>
  </si>
  <si>
    <t>Swiss Alps</t>
  </si>
  <si>
    <t>French Alps</t>
  </si>
  <si>
    <t>Kilimanjaro</t>
  </si>
  <si>
    <t>Tuscany</t>
  </si>
  <si>
    <t>Asturias</t>
  </si>
  <si>
    <t>France Province</t>
  </si>
  <si>
    <t>B</t>
  </si>
  <si>
    <t>S</t>
  </si>
  <si>
    <t>G</t>
  </si>
  <si>
    <t>P</t>
  </si>
  <si>
    <t>Hotel</t>
  </si>
  <si>
    <t>Motel</t>
  </si>
  <si>
    <t>Holdiay Inn</t>
  </si>
  <si>
    <t>Homestay</t>
  </si>
  <si>
    <t>None</t>
  </si>
  <si>
    <t>Spa</t>
  </si>
  <si>
    <t>Resort</t>
  </si>
  <si>
    <t>F</t>
  </si>
  <si>
    <t>M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</si>
  <si>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</si>
  <si>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</si>
  <si>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</si>
  <si>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</si>
  <si>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</si>
  <si>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</si>
  <si>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</si>
  <si>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</si>
  <si>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</si>
  <si>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</si>
  <si>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</si>
  <si>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</si>
  <si>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</si>
  <si>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</si>
  <si>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</si>
  <si>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</si>
  <si>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</si>
  <si>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</si>
  <si>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</si>
  <si>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</si>
  <si>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</si>
  <si>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</si>
  <si>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</si>
  <si>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</si>
  <si>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</si>
  <si>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</si>
  <si>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</si>
  <si>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</si>
  <si>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</si>
  <si>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</si>
  <si>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</si>
  <si>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</si>
  <si>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</si>
  <si>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</si>
  <si>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</si>
  <si>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</si>
  <si>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</si>
  <si>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</si>
  <si>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</si>
  <si>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</si>
  <si>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</si>
  <si>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</si>
  <si>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</si>
  <si>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SPECIAL REQUEST</t>
  </si>
  <si>
    <t>E01</t>
  </si>
  <si>
    <t>E02</t>
  </si>
  <si>
    <t>E03</t>
  </si>
  <si>
    <t>E04</t>
  </si>
  <si>
    <t>E05</t>
  </si>
  <si>
    <t>E06</t>
  </si>
  <si>
    <t>E07</t>
  </si>
  <si>
    <t>E08</t>
  </si>
  <si>
    <t>E09</t>
  </si>
  <si>
    <t>E10</t>
  </si>
  <si>
    <t>E11</t>
  </si>
  <si>
    <t>E12</t>
  </si>
  <si>
    <t>E13</t>
  </si>
  <si>
    <t>E14</t>
  </si>
  <si>
    <t>E15</t>
  </si>
  <si>
    <t>G01</t>
  </si>
  <si>
    <t>G02</t>
  </si>
  <si>
    <t>G03</t>
  </si>
  <si>
    <t>G04</t>
  </si>
  <si>
    <t>G05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</si>
  <si>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</si>
  <si>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</si>
  <si>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</si>
  <si>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</si>
  <si>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</si>
  <si>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</si>
  <si>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</si>
  <si>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</si>
  <si>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</si>
  <si>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</si>
  <si>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</si>
  <si>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</si>
  <si>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</si>
  <si>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</si>
  <si>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</si>
  <si>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</si>
  <si>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</si>
  <si>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</si>
  <si>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</si>
  <si>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</si>
  <si>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</si>
  <si>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</si>
  <si>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</si>
  <si>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</si>
  <si>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</si>
  <si>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</si>
  <si>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</si>
  <si>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</si>
  <si>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</si>
  <si>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</si>
  <si>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</si>
  <si>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</si>
  <si>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</si>
  <si>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</si>
  <si>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North East</t>
  </si>
  <si>
    <t>North West</t>
  </si>
  <si>
    <t>South East</t>
  </si>
  <si>
    <t>South West</t>
  </si>
  <si>
    <t>East</t>
  </si>
  <si>
    <t>South</t>
  </si>
  <si>
    <t>Avenue</t>
  </si>
  <si>
    <t>Square</t>
  </si>
  <si>
    <t>Place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</si>
  <si>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</si>
  <si>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</si>
  <si>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</si>
  <si>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</si>
  <si>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</si>
  <si>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</si>
  <si>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</si>
  <si>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</si>
  <si>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</si>
  <si>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</si>
  <si>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</si>
  <si>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</si>
  <si>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</si>
  <si>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</si>
  <si>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</si>
  <si>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</si>
  <si>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</si>
  <si>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</si>
  <si>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</si>
  <si>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</si>
  <si>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</si>
  <si>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</si>
  <si>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</si>
  <si>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</si>
  <si>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</si>
  <si>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</si>
  <si>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</si>
  <si>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</si>
  <si>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</si>
  <si>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</si>
  <si>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</si>
  <si>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</si>
  <si>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</si>
  <si>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</si>
  <si>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</si>
  <si>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</si>
  <si>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</si>
  <si>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</si>
  <si>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</si>
  <si>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</si>
  <si>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</si>
  <si>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</si>
  <si>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</si>
  <si>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</si>
  <si>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</si>
  <si>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</si>
  <si>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</si>
  <si>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</si>
  <si>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</si>
  <si>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</si>
  <si>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</si>
  <si>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</si>
  <si>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</si>
  <si>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</si>
  <si>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</si>
  <si>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</si>
  <si>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</si>
  <si>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</si>
  <si>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</si>
  <si>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</si>
  <si>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</si>
  <si>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</si>
  <si>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</si>
  <si>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</si>
  <si>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</si>
  <si>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</si>
  <si>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</si>
  <si>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</si>
  <si>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</si>
  <si>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</si>
  <si>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</si>
  <si>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</si>
  <si>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</si>
  <si>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</si>
  <si>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</si>
  <si>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</si>
  <si>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</si>
  <si>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</si>
  <si>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</si>
  <si>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</si>
  <si>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</si>
  <si>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</si>
  <si>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</si>
  <si>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</si>
  <si>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</si>
  <si>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</si>
  <si>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</si>
  <si>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</si>
  <si>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</si>
  <si>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</si>
  <si>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</si>
  <si>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</si>
  <si>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</si>
  <si>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</si>
  <si>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</si>
  <si>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</si>
  <si>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</si>
  <si>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</si>
  <si>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</si>
  <si>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</si>
  <si>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</si>
  <si>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</si>
  <si>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</si>
  <si>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</si>
  <si>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</si>
  <si>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</si>
  <si>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</si>
  <si>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</si>
  <si>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</si>
  <si>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</si>
  <si>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</si>
  <si>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</si>
  <si>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</si>
  <si>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</si>
  <si>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</si>
  <si>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</si>
  <si>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</si>
  <si>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</si>
  <si>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</si>
  <si>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</si>
  <si>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</si>
  <si>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</si>
  <si>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</si>
  <si>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</si>
  <si>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</si>
  <si>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</si>
  <si>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</si>
  <si>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</si>
  <si>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</si>
  <si>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</si>
  <si>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</si>
  <si>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</si>
  <si>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</si>
  <si>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</si>
  <si>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</si>
  <si>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</si>
  <si>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</si>
  <si>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</si>
  <si>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</si>
  <si>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</si>
  <si>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</si>
  <si>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</si>
  <si>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</si>
  <si>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</si>
  <si>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</si>
  <si>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</si>
  <si>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</si>
  <si>
    <t>R148</t>
  </si>
  <si>
    <t>R149</t>
  </si>
  <si>
    <t>R150</t>
  </si>
  <si>
    <t>R151</t>
  </si>
  <si>
    <t>R152</t>
  </si>
  <si>
    <t>R153</t>
  </si>
  <si>
    <t>R154</t>
  </si>
  <si>
    <t>R155</t>
  </si>
  <si>
    <t>R156</t>
  </si>
  <si>
    <t>R157</t>
  </si>
  <si>
    <t>R158</t>
  </si>
  <si>
    <t>R159</t>
  </si>
  <si>
    <t>R160</t>
  </si>
  <si>
    <t>R161</t>
  </si>
  <si>
    <t>R162</t>
  </si>
  <si>
    <t>R163</t>
  </si>
  <si>
    <t>R164</t>
  </si>
  <si>
    <t>R165</t>
  </si>
  <si>
    <t>R166</t>
  </si>
  <si>
    <t>R167</t>
  </si>
  <si>
    <t>R168</t>
  </si>
  <si>
    <t>R169</t>
  </si>
  <si>
    <t>R170</t>
  </si>
  <si>
    <t>R171</t>
  </si>
  <si>
    <t>R172</t>
  </si>
  <si>
    <t>R173</t>
  </si>
  <si>
    <t>R174</t>
  </si>
  <si>
    <t>R175</t>
  </si>
  <si>
    <t>R176</t>
  </si>
  <si>
    <t>R177</t>
  </si>
  <si>
    <t>R178</t>
  </si>
  <si>
    <t>R179</t>
  </si>
  <si>
    <t>R180</t>
  </si>
  <si>
    <t>R181</t>
  </si>
  <si>
    <t>R182</t>
  </si>
  <si>
    <t>R183</t>
  </si>
  <si>
    <t>R184</t>
  </si>
  <si>
    <t>R185</t>
  </si>
  <si>
    <t>R186</t>
  </si>
  <si>
    <t>R187</t>
  </si>
  <si>
    <t>R188</t>
  </si>
  <si>
    <t>R189</t>
  </si>
  <si>
    <t>R190</t>
  </si>
  <si>
    <t>R191</t>
  </si>
  <si>
    <t>R192</t>
  </si>
  <si>
    <t>R193</t>
  </si>
  <si>
    <t>R194</t>
  </si>
  <si>
    <t>R195</t>
  </si>
  <si>
    <t>R196</t>
  </si>
  <si>
    <t>R197</t>
  </si>
  <si>
    <t>R198</t>
  </si>
  <si>
    <t>R199</t>
  </si>
  <si>
    <t>R200</t>
  </si>
  <si>
    <t>R201</t>
  </si>
  <si>
    <t>R202</t>
  </si>
  <si>
    <t>R203</t>
  </si>
  <si>
    <t>R204</t>
  </si>
  <si>
    <t>R205</t>
  </si>
  <si>
    <t>R206</t>
  </si>
  <si>
    <t>R207</t>
  </si>
  <si>
    <t>R208</t>
  </si>
  <si>
    <t>R209</t>
  </si>
  <si>
    <t>R210</t>
  </si>
  <si>
    <t>R211</t>
  </si>
  <si>
    <t>R212</t>
  </si>
  <si>
    <t>R213</t>
  </si>
  <si>
    <t>R214</t>
  </si>
  <si>
    <t>R215</t>
  </si>
  <si>
    <t>R216</t>
  </si>
  <si>
    <t>R217</t>
  </si>
  <si>
    <t>R218</t>
  </si>
  <si>
    <t>R219</t>
  </si>
  <si>
    <t>R220</t>
  </si>
  <si>
    <t>R221</t>
  </si>
  <si>
    <t>R222</t>
  </si>
  <si>
    <t>R223</t>
  </si>
  <si>
    <t>R224</t>
  </si>
  <si>
    <t>R225</t>
  </si>
  <si>
    <t>R226</t>
  </si>
  <si>
    <t>R227</t>
  </si>
  <si>
    <t>R228</t>
  </si>
  <si>
    <t>R229</t>
  </si>
  <si>
    <t>R230</t>
  </si>
  <si>
    <t>R231</t>
  </si>
  <si>
    <t>R232</t>
  </si>
  <si>
    <t>R233</t>
  </si>
  <si>
    <t>R234</t>
  </si>
  <si>
    <t>R235</t>
  </si>
  <si>
    <t>R236</t>
  </si>
  <si>
    <t>R237</t>
  </si>
  <si>
    <t>R238</t>
  </si>
  <si>
    <t>R239</t>
  </si>
  <si>
    <t>R240</t>
  </si>
  <si>
    <t>R241</t>
  </si>
  <si>
    <t>R242</t>
  </si>
  <si>
    <t>R243</t>
  </si>
  <si>
    <t>R244</t>
  </si>
  <si>
    <t>R245</t>
  </si>
  <si>
    <t>R246</t>
  </si>
  <si>
    <t>R247</t>
  </si>
  <si>
    <t>R248</t>
  </si>
  <si>
    <t>R249</t>
  </si>
  <si>
    <t>R250</t>
  </si>
  <si>
    <t>GUIDE</t>
  </si>
  <si>
    <t>Vegeterian</t>
  </si>
  <si>
    <t>Hendicaped</t>
  </si>
  <si>
    <t>Child Proof</t>
  </si>
  <si>
    <t>Non Smoking</t>
  </si>
  <si>
    <t>Pets Allowed</t>
  </si>
  <si>
    <t>AC02</t>
  </si>
  <si>
    <t>AC01</t>
  </si>
  <si>
    <t>AC03</t>
  </si>
  <si>
    <t>AC04</t>
  </si>
  <si>
    <t>AC05</t>
  </si>
  <si>
    <t>AC06</t>
  </si>
  <si>
    <t>AC07</t>
  </si>
  <si>
    <t>C40</t>
  </si>
  <si>
    <t>G21</t>
  </si>
  <si>
    <t>G22</t>
  </si>
  <si>
    <t>G23</t>
  </si>
  <si>
    <t>G24</t>
  </si>
  <si>
    <t>G25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</si>
  <si>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</si>
  <si>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</si>
  <si>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</si>
  <si>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</si>
  <si>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</si>
  <si>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</si>
  <si>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</si>
  <si>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</si>
  <si>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</si>
  <si>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</si>
  <si>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</si>
  <si>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</si>
  <si>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</si>
  <si>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</si>
  <si>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</si>
  <si>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</si>
  <si>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</si>
  <si>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</si>
  <si>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</si>
  <si>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</si>
  <si>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</si>
  <si>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</si>
  <si>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</si>
  <si>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</si>
  <si>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</si>
  <si>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</si>
  <si>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</si>
  <si>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</si>
  <si>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</si>
  <si>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</si>
  <si>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</si>
  <si>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</si>
  <si>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</si>
  <si>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</si>
  <si>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</si>
  <si>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</si>
  <si>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</si>
  <si>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</si>
  <si>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</si>
  <si>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</si>
  <si>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</si>
  <si>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</si>
  <si>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</si>
  <si>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</si>
  <si>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</si>
  <si>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</si>
  <si>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</si>
  <si>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</si>
  <si>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</si>
  <si>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</si>
  <si>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</si>
  <si>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</si>
  <si>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</si>
  <si>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</si>
  <si>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</si>
  <si>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</si>
  <si>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</si>
  <si>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</si>
  <si>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</si>
  <si>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</si>
  <si>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E16</t>
  </si>
  <si>
    <t>E17</t>
  </si>
  <si>
    <t>E18</t>
  </si>
  <si>
    <t>E19</t>
  </si>
  <si>
    <t>E20</t>
  </si>
  <si>
    <t>R251</t>
  </si>
  <si>
    <t>R252</t>
  </si>
  <si>
    <t>R253</t>
  </si>
  <si>
    <t>R254</t>
  </si>
  <si>
    <t>R255</t>
  </si>
  <si>
    <t>R256</t>
  </si>
  <si>
    <t>R257</t>
  </si>
  <si>
    <t>R258</t>
  </si>
  <si>
    <t>R259</t>
  </si>
  <si>
    <t>R260</t>
  </si>
  <si>
    <t>R261</t>
  </si>
  <si>
    <t>R262</t>
  </si>
  <si>
    <t>R263</t>
  </si>
  <si>
    <t>R264</t>
  </si>
  <si>
    <t>R265</t>
  </si>
  <si>
    <t>R266</t>
  </si>
  <si>
    <t>R267</t>
  </si>
  <si>
    <t>R268</t>
  </si>
  <si>
    <t>R269</t>
  </si>
  <si>
    <t>R270</t>
  </si>
  <si>
    <t>R271</t>
  </si>
  <si>
    <t>R272</t>
  </si>
  <si>
    <t>R273</t>
  </si>
  <si>
    <t>R274</t>
  </si>
  <si>
    <t>R275</t>
  </si>
  <si>
    <t>R276</t>
  </si>
  <si>
    <t>R277</t>
  </si>
  <si>
    <t>R278</t>
  </si>
  <si>
    <t>R279</t>
  </si>
  <si>
    <t>R280</t>
  </si>
  <si>
    <t>R281</t>
  </si>
  <si>
    <t>R282</t>
  </si>
  <si>
    <t>R283</t>
  </si>
  <si>
    <t>R284</t>
  </si>
  <si>
    <t>R285</t>
  </si>
  <si>
    <t>R286</t>
  </si>
  <si>
    <t>R287</t>
  </si>
  <si>
    <t>R288</t>
  </si>
  <si>
    <t>R289</t>
  </si>
  <si>
    <t>R290</t>
  </si>
  <si>
    <t>R291</t>
  </si>
  <si>
    <t>R292</t>
  </si>
  <si>
    <t>R293</t>
  </si>
  <si>
    <t>R294</t>
  </si>
  <si>
    <t>R295</t>
  </si>
  <si>
    <t>R296</t>
  </si>
  <si>
    <t>R297</t>
  </si>
  <si>
    <t>R298</t>
  </si>
  <si>
    <t>R299</t>
  </si>
  <si>
    <t>R300</t>
  </si>
  <si>
    <t>ACCOMODATION</t>
  </si>
  <si>
    <t>T01</t>
  </si>
  <si>
    <t>T02</t>
  </si>
  <si>
    <t>T03</t>
  </si>
  <si>
    <t>T04</t>
  </si>
  <si>
    <t>T05</t>
  </si>
  <si>
    <t>T06</t>
  </si>
  <si>
    <t>Quiet Floor</t>
  </si>
  <si>
    <t>memb_id</t>
  </si>
  <si>
    <t>memb_status</t>
  </si>
  <si>
    <t>memb_type</t>
  </si>
  <si>
    <t>memb_discount</t>
  </si>
  <si>
    <t>String</t>
  </si>
  <si>
    <t>Number</t>
  </si>
  <si>
    <t>excursion_id</t>
  </si>
  <si>
    <t>excursion_dep</t>
  </si>
  <si>
    <t>excursion_ret</t>
  </si>
  <si>
    <t>Date</t>
  </si>
  <si>
    <t>transport_id</t>
  </si>
  <si>
    <t>transport_type</t>
  </si>
  <si>
    <t>transport_price</t>
  </si>
  <si>
    <t>string</t>
  </si>
  <si>
    <t>number</t>
  </si>
  <si>
    <t>location_id</t>
  </si>
  <si>
    <t>location_type</t>
  </si>
  <si>
    <t>location_price</t>
  </si>
  <si>
    <t>location_location</t>
  </si>
  <si>
    <t>accomodation_id</t>
  </si>
  <si>
    <t>customer_id</t>
  </si>
  <si>
    <t>customer_name</t>
  </si>
  <si>
    <t>customer_region</t>
  </si>
  <si>
    <t>customer_address</t>
  </si>
  <si>
    <t>customer_number</t>
  </si>
  <si>
    <t>guide_id</t>
  </si>
  <si>
    <t>guide_name</t>
  </si>
  <si>
    <t>guide_gender</t>
  </si>
  <si>
    <t>guide_salary</t>
  </si>
  <si>
    <t>guide_hire_date</t>
  </si>
  <si>
    <t>date</t>
  </si>
  <si>
    <t>package_id</t>
  </si>
  <si>
    <t>reservation_id</t>
  </si>
  <si>
    <t>reservation_date</t>
  </si>
  <si>
    <t>reservation_people</t>
  </si>
  <si>
    <t>reservation_request</t>
  </si>
  <si>
    <t>membership_id</t>
  </si>
  <si>
    <t>packet_id</t>
  </si>
  <si>
    <t>packet_desc</t>
  </si>
  <si>
    <t>packet_price</t>
  </si>
  <si>
    <t>packet_insu</t>
  </si>
  <si>
    <t>packet_insu_price</t>
  </si>
  <si>
    <t>arrangement_id</t>
  </si>
  <si>
    <t>arrangement_desc</t>
  </si>
  <si>
    <t>arrangement_price</t>
  </si>
  <si>
    <t>Gender</t>
  </si>
  <si>
    <t>Name</t>
  </si>
  <si>
    <t>Type</t>
  </si>
  <si>
    <t>Request</t>
  </si>
  <si>
    <t>Street Addon</t>
  </si>
  <si>
    <t>customer_gender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</si>
</sst>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color theme="1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1"/>
      <color theme="3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theme="4"/>
      </top>
      <bottom/>
      <diagonal/>
    </border>
  </borders>
  <cellStyleXfs count="7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14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">
    <xf numFmtId="0" fontId="0" fillId="0" borderId="0" xfId="0"/>
    <xf numFmtId="0" fontId="20" fillId="0" borderId="10" xfId="0" applyFont="1" applyBorder="1"/>
    <xf numFmtId="14" fontId="0" fillId="0" borderId="0" xfId="0" applyNumberFormat="1"/>
    <xf numFmtId="0" fontId="0" fillId="0" borderId="0" xfId="0" applyNumberFormat="1"/>
    <xf numFmtId="0" fontId="20" fillId="0" borderId="0" xfId="0" applyFont="1" applyBorder="1"/>
    <xf numFmtId="0" fontId="23" fillId="24" borderId="0" xfId="29" applyFont="1" applyFill="1"/>
  </cellXfs>
  <cellStyles count="7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6"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none"/>
      </font>
      <fill>
        <patternFill patternType="solid">
          <fgColor indexed="64"/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border diagonalUp="0" diagonalDown="0">
        <left/>
        <right/>
        <top style="thin">
          <color theme="4"/>
        </top>
        <bottom/>
        <vertical/>
        <horizontal/>
      </border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TableStyleLight9 2" pivot="0" count="8">
      <tableStyleElement type="wholeTable" dxfId="35"/>
      <tableStyleElement type="totalRow" dxfId="34"/>
      <tableStyleElement type="firstColumn" dxfId="33"/>
      <tableStyleElement type="lastColumn" dxfId="32"/>
      <tableStyleElement type="firstRowStripe" dxfId="31"/>
      <tableStyleElement type="secondRowStripe" dxfId="30"/>
      <tableStyleElement type="firstColumnStripe" dxfId="29"/>
      <tableStyleElement type="secondColumnStripe" dxfId="2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ables/table1.xml><?xml version="1.0" encoding="utf-8"?>
<table xmlns="http://schemas.openxmlformats.org/spreadsheetml/2006/main" id="2" name="Table2" displayName="Table2" ref="A1:H301" totalsRowShown="0">
  <autoFilter ref="A1:H301"/>
  <tableColumns count="8">
    <tableColumn id="1" name="ID"/>
    <tableColumn id="2" name="CUSTOMER" dataDxfId="27">
      <calculatedColumnFormula>r_choice(Table3[ID])</calculatedColumnFormula>
    </tableColumn>
    <tableColumn id="3" name="GUIDE" dataDxfId="26">
      <calculatedColumnFormula>r_choice(Table10[ID])</calculatedColumnFormula>
    </tableColumn>
    <tableColumn id="4" name="EXCURSION" dataDxfId="25">
      <calculatedColumnFormula>r_choice(EXCURSION!$A$2:$A$21)</calculatedColumnFormula>
    </tableColumn>
    <tableColumn id="5" name="DATE_OF_RESERVATION" dataDxfId="24">
      <calculatedColumnFormula>r_date(2015,1,2016,1)</calculatedColumnFormula>
    </tableColumn>
    <tableColumn id="6" name="PEOPLE_NUM" dataDxfId="23">
      <calculatedColumnFormula>r_integer(1,6)</calculatedColumnFormula>
    </tableColumn>
    <tableColumn id="7" name="SPECIAL REQUEST" dataDxfId="22">
      <calculatedColumnFormula>r_choice($I$9:$I$15)</calculatedColumnFormula>
    </tableColumn>
    <tableColumn id="9" name="PACKAGE" dataDxfId="21">
      <calculatedColumnFormula>r_choice(Table6[ID])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4" name="Table14" displayName="Table14" ref="J23:K31" totalsRowShown="0">
  <autoFilter ref="J23:K31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5" name="Table15" displayName="Table15" ref="I8:I15" totalsRowShown="0">
  <autoFilter ref="I8:I15"/>
  <tableColumns count="1">
    <tableColumn id="1" name="Request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1:E5" totalsRowShown="0">
  <autoFilter ref="A1:E5"/>
  <tableColumns count="5">
    <tableColumn id="1" name="ID"/>
    <tableColumn id="2" name="DESCRIPTION"/>
    <tableColumn id="3" name="PRICE"/>
    <tableColumn id="4" name="INSURANCE"/>
    <tableColumn id="5" name="INSURANCE_PRICE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6" name="Table16" displayName="Table16" ref="F13:G18" totalsRowShown="0">
  <autoFilter ref="F13:G18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10" name="Table10" displayName="Table10" ref="A1:E26" totalsRowShown="0">
  <autoFilter ref="A1:E26"/>
  <tableColumns count="5">
    <tableColumn id="1" name="ID"/>
    <tableColumn id="2" name="NAME" dataDxfId="20">
      <calculatedColumnFormula>IF(C2="F","Mr.","Ms.")&amp;" "&amp;IF(C2="F",r_fname_f(),r_fname_m())&amp;" "&amp;r_lname()</calculatedColumnFormula>
    </tableColumn>
    <tableColumn id="3" name="GENDER" dataDxfId="19">
      <calculatedColumnFormula>r_choice($G$9:$G$10)</calculatedColumnFormula>
    </tableColumn>
    <tableColumn id="4" name="SALARY" dataDxfId="18">
      <calculatedColumnFormula>r_integer(750,1500)</calculatedColumnFormula>
    </tableColumn>
    <tableColumn id="5" name="HIRE_DATE" dataDxfId="17">
      <calculatedColumnFormula>r_date(2006,1,2016,1)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7" name="Table17" displayName="Table17" ref="G8:G10" totalsRowShown="0">
  <autoFilter ref="G8:G10"/>
  <tableColumns count="1">
    <tableColumn id="1" name="Gender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8" name="Table18" displayName="Table18" ref="F29:G34" totalsRowShown="0">
  <autoFilter ref="F29:G34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3" name="Table3" displayName="Table3" ref="A1:G101" totalsRowShown="0">
  <autoFilter ref="A1:G101"/>
  <sortState ref="A2:G101">
    <sortCondition ref="D1:D101"/>
  </sortState>
  <tableColumns count="7">
    <tableColumn id="1" name="ID"/>
    <tableColumn id="2" name="NAME" dataDxfId="16">
      <calculatedColumnFormula>IF(C2="F","Mr.","Ms.")&amp;" "&amp;IF(C2="F",r_fname_f(),r_fname_m())&amp;" "&amp;r_lname()</calculatedColumnFormula>
    </tableColumn>
    <tableColumn id="8" name="GENDER" dataDxfId="15">
      <calculatedColumnFormula>r_choice(Table172[Gender])</calculatedColumnFormula>
    </tableColumn>
    <tableColumn id="3" name="MEMBERSHIP" dataDxfId="14">
      <calculatedColumnFormula>r_choice(Table11[ID])</calculatedColumnFormula>
    </tableColumn>
    <tableColumn id="5" name="REGION" dataDxfId="13">
      <calculatedColumnFormula>r_choice($J$4:$J$11)</calculatedColumnFormula>
    </tableColumn>
    <tableColumn id="6" name="ADDRESS" dataDxfId="12">
      <calculatedColumnFormula>r_integer(1,500)&amp;" "&amp;r_lname()&amp;" "&amp;r_choice($J$16:$J$21)</calculatedColumnFormula>
    </tableColumn>
    <tableColumn id="7" name="NUMBER" dataDxfId="11">
      <calculatedColumnFormula>r_integer(690,699) &amp; "/" &amp; r_integer(100,999) &amp; " " &amp; r_integer(1000,9999)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9" name="Table19" displayName="Table19" ref="J25:K32">
  <autoFilter ref="J25:K32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20" name="Table20" displayName="Table20" ref="J3:J11" totalsRowShown="0">
  <autoFilter ref="J3:J11"/>
  <tableColumns count="1">
    <tableColumn id="1" name="REGION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1" name="Table21" displayName="Table21" ref="J15:J21" totalsRowShown="0">
  <autoFilter ref="J15:J21"/>
  <tableColumns count="1">
    <tableColumn id="1" name="Street Addon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" name="Table172" displayName="Table172" ref="L6:L8" totalsRowShown="0">
  <autoFilter ref="L6:L8"/>
  <tableColumns count="1">
    <tableColumn id="1" name="Gender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11" name="Table11" displayName="Table11" ref="A1:D6" totalsRowShown="0">
  <autoFilter ref="A1:D6"/>
  <tableColumns count="4">
    <tableColumn id="1" name="ID"/>
    <tableColumn id="6" name="STATUS"/>
    <tableColumn id="2" name="TYPE"/>
    <tableColumn id="5" name="DISCOUN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2" name="Table22" displayName="Table22" ref="F7:G11" totalsRowShown="0">
  <autoFilter ref="F7:G11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5" name="Table5" displayName="Table5" ref="A1:F21" totalsRowShown="0">
  <autoFilter ref="A1:F21"/>
  <tableColumns count="6">
    <tableColumn id="1" name="ID"/>
    <tableColumn id="3" name="DEP_DATE" dataDxfId="10">
      <calculatedColumnFormula>r_date(2016,1,2017,1)</calculatedColumnFormula>
    </tableColumn>
    <tableColumn id="4" name="RET_DATE" dataDxfId="9">
      <calculatedColumnFormula>Table5[[#This Row],[DEP_DATE]]+r_integer(5,30)</calculatedColumnFormula>
    </tableColumn>
    <tableColumn id="6" name="LOCATION" dataDxfId="8">
      <calculatedColumnFormula>r_choice(Table9[ID])</calculatedColumnFormula>
    </tableColumn>
    <tableColumn id="10" name="ACCOMODATION" dataDxfId="7">
      <calculatedColumnFormula>r_choice(Table7[ID])</calculatedColumnFormula>
    </tableColumn>
    <tableColumn id="7" name="TRANSPORT" dataDxfId="6">
      <calculatedColumnFormula>r_choice(Table12[ID])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id="23" name="Table23" displayName="Table23" ref="I13:J19" totalsRowShown="0">
  <autoFilter ref="I13:J19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id="12" name="Table12" displayName="Table12" ref="A1:C7" totalsRowShown="0">
  <autoFilter ref="A1:C7"/>
  <tableColumns count="3">
    <tableColumn id="1" name="ID"/>
    <tableColumn id="2" name="TYPE" dataDxfId="5"/>
    <tableColumn id="3" name="PRICE" dataDxfId="4">
      <calculatedColumnFormula>r_integer(200,500)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id="24" name="Table24" displayName="Table24" ref="E8:F11" totalsRowShown="0">
  <autoFilter ref="E8:F11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id="9" name="Table9" displayName="Table9" ref="A1:D24" totalsRowShown="0">
  <autoFilter ref="A1:D24"/>
  <tableColumns count="4">
    <tableColumn id="1" name="ID"/>
    <tableColumn id="2" name="LOACTION"/>
    <tableColumn id="3" name="TYPE" dataDxfId="3"/>
    <tableColumn id="5" name="PRICE" dataDxfId="2">
      <calculatedColumnFormula>r_integer(200,500)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id="25" name="Table25" displayName="Table25" ref="E9:H16" totalsRowShown="0" headerRowDxfId="1" headerRowCellStyle="Good">
  <autoFilter ref="E9:H16"/>
  <tableColumns count="4">
    <tableColumn id="1" name="Tropical"/>
    <tableColumn id="2" name="Rural"/>
    <tableColumn id="3" name="Urban "/>
    <tableColumn id="4" name="Mountain"/>
  </tableColumns>
  <tableStyleInfo name="TableStyleLight2" showFirstColumn="0" showLastColumn="0" showRowStripes="1" showColumnStripes="0"/>
</table>
</file>

<file path=xl/tables/table22.xml><?xml version="1.0" encoding="utf-8"?>
<table xmlns="http://schemas.openxmlformats.org/spreadsheetml/2006/main" id="26" name="Table26" displayName="Table26" ref="I23:J27" totalsRowShown="0">
  <autoFilter ref="I23:J27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id="7" name="Table7" displayName="Table7" ref="A1:C8" totalsRowShown="0">
  <autoFilter ref="A1:C8"/>
  <tableColumns count="3">
    <tableColumn id="1" name="ID"/>
    <tableColumn id="2" name="DESCRIPTION"/>
    <tableColumn id="3" name="PRICE" dataDxfId="0">
      <calculatedColumnFormula>r_integer(70,300)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id="27" name="Table27" displayName="Table27" ref="D13:E16" totalsRowShown="0">
  <autoFilter ref="D13:E16"/>
  <tableColumns count="2">
    <tableColumn id="1" name="Name"/>
    <tableColumn id="2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Relationship Id="rId2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Relationship Id="rId2" Type="http://schemas.openxmlformats.org/officeDocument/2006/relationships/table" Target="../tables/table7.xml"/><Relationship Id="rId3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4" Type="http://schemas.openxmlformats.org/officeDocument/2006/relationships/table" Target="../tables/table12.xml"/><Relationship Id="rId5" Type="http://schemas.openxmlformats.org/officeDocument/2006/relationships/table" Target="../tables/table13.xml"/><Relationship Id="rId1" Type="http://schemas.openxmlformats.org/officeDocument/2006/relationships/table" Target="../tables/table9.xml"/><Relationship Id="rId2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Relationship Id="rId2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Relationship Id="rId2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Relationship Id="rId2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Relationship Id="rId2" Type="http://schemas.openxmlformats.org/officeDocument/2006/relationships/table" Target="../tables/table21.xml"/><Relationship Id="rId3" Type="http://schemas.openxmlformats.org/officeDocument/2006/relationships/table" Target="../tables/table2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Relationship Id="rId2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421"/>
  <sheetViews>
    <sheetView topLeftCell="A2375" workbookViewId="0">
      <selection activeCell="F1" sqref="F1:F2421"/>
    </sheetView>
  </sheetViews>
  <sheetFormatPr baseColWidth="10" defaultColWidth="8.83203125" defaultRowHeight="13" x14ac:dyDescent="0.15"/>
  <sheetData>
    <row r="1" spans="1:6" x14ac:dyDescent="0.15">
      <c r="A1" t="s">
        <v>0</v>
      </c>
      <c r="C1" t="s">
        <v>862</v>
      </c>
      <c r="F1" t="s">
        <v>243</v>
      </c>
    </row>
    <row r="2" spans="1:6" x14ac:dyDescent="0.15">
      <c r="A2" t="s">
        <v>1</v>
      </c>
      <c r="C2" t="s">
        <v>863</v>
      </c>
      <c r="F2" t="s">
        <v>244</v>
      </c>
    </row>
    <row r="3" spans="1:6" x14ac:dyDescent="0.15">
      <c r="A3" t="s">
        <v>2</v>
      </c>
      <c r="C3" t="s">
        <v>864</v>
      </c>
      <c r="F3" t="s">
        <v>245</v>
      </c>
    </row>
    <row r="4" spans="1:6" x14ac:dyDescent="0.15">
      <c r="A4" t="s">
        <v>3</v>
      </c>
      <c r="C4" t="s">
        <v>865</v>
      </c>
      <c r="F4" t="s">
        <v>246</v>
      </c>
    </row>
    <row r="5" spans="1:6" x14ac:dyDescent="0.15">
      <c r="A5" t="s">
        <v>4</v>
      </c>
      <c r="C5" t="s">
        <v>866</v>
      </c>
      <c r="F5" t="s">
        <v>247</v>
      </c>
    </row>
    <row r="6" spans="1:6" x14ac:dyDescent="0.15">
      <c r="A6" t="s">
        <v>5</v>
      </c>
      <c r="C6" t="s">
        <v>867</v>
      </c>
      <c r="F6" t="s">
        <v>248</v>
      </c>
    </row>
    <row r="7" spans="1:6" x14ac:dyDescent="0.15">
      <c r="A7" t="s">
        <v>6</v>
      </c>
      <c r="C7" t="s">
        <v>868</v>
      </c>
      <c r="F7" t="s">
        <v>249</v>
      </c>
    </row>
    <row r="8" spans="1:6" x14ac:dyDescent="0.15">
      <c r="A8" t="s">
        <v>7</v>
      </c>
      <c r="C8" t="s">
        <v>869</v>
      </c>
      <c r="F8" t="s">
        <v>250</v>
      </c>
    </row>
    <row r="9" spans="1:6" x14ac:dyDescent="0.15">
      <c r="A9" t="s">
        <v>8</v>
      </c>
      <c r="C9" t="s">
        <v>870</v>
      </c>
      <c r="F9" t="s">
        <v>251</v>
      </c>
    </row>
    <row r="10" spans="1:6" x14ac:dyDescent="0.15">
      <c r="A10" t="s">
        <v>9</v>
      </c>
      <c r="C10" t="s">
        <v>871</v>
      </c>
      <c r="F10" t="s">
        <v>252</v>
      </c>
    </row>
    <row r="11" spans="1:6" x14ac:dyDescent="0.15">
      <c r="A11" t="s">
        <v>10</v>
      </c>
      <c r="C11" t="s">
        <v>872</v>
      </c>
      <c r="F11" t="s">
        <v>253</v>
      </c>
    </row>
    <row r="12" spans="1:6" x14ac:dyDescent="0.15">
      <c r="A12" t="s">
        <v>11</v>
      </c>
      <c r="C12" t="s">
        <v>873</v>
      </c>
      <c r="F12" t="s">
        <v>254</v>
      </c>
    </row>
    <row r="13" spans="1:6" x14ac:dyDescent="0.15">
      <c r="A13" t="s">
        <v>12</v>
      </c>
      <c r="C13" t="s">
        <v>874</v>
      </c>
      <c r="F13" t="s">
        <v>255</v>
      </c>
    </row>
    <row r="14" spans="1:6" x14ac:dyDescent="0.15">
      <c r="A14" t="s">
        <v>13</v>
      </c>
      <c r="C14" t="s">
        <v>875</v>
      </c>
      <c r="F14" t="s">
        <v>256</v>
      </c>
    </row>
    <row r="15" spans="1:6" x14ac:dyDescent="0.15">
      <c r="A15" t="s">
        <v>14</v>
      </c>
      <c r="C15" t="s">
        <v>876</v>
      </c>
      <c r="F15" t="s">
        <v>257</v>
      </c>
    </row>
    <row r="16" spans="1:6" x14ac:dyDescent="0.15">
      <c r="A16" t="s">
        <v>15</v>
      </c>
      <c r="C16" t="s">
        <v>877</v>
      </c>
      <c r="F16" t="s">
        <v>258</v>
      </c>
    </row>
    <row r="17" spans="1:6" x14ac:dyDescent="0.15">
      <c r="A17" t="s">
        <v>16</v>
      </c>
      <c r="C17" t="s">
        <v>878</v>
      </c>
      <c r="F17" t="s">
        <v>259</v>
      </c>
    </row>
    <row r="18" spans="1:6" x14ac:dyDescent="0.15">
      <c r="A18" t="s">
        <v>17</v>
      </c>
      <c r="C18" t="s">
        <v>879</v>
      </c>
      <c r="F18" t="s">
        <v>260</v>
      </c>
    </row>
    <row r="19" spans="1:6" x14ac:dyDescent="0.15">
      <c r="A19" t="s">
        <v>18</v>
      </c>
      <c r="C19" t="s">
        <v>880</v>
      </c>
      <c r="F19" t="s">
        <v>261</v>
      </c>
    </row>
    <row r="20" spans="1:6" x14ac:dyDescent="0.15">
      <c r="A20" t="s">
        <v>19</v>
      </c>
      <c r="C20" t="s">
        <v>881</v>
      </c>
      <c r="F20" t="s">
        <v>262</v>
      </c>
    </row>
    <row r="21" spans="1:6" x14ac:dyDescent="0.15">
      <c r="A21" t="s">
        <v>20</v>
      </c>
      <c r="C21" t="s">
        <v>882</v>
      </c>
      <c r="F21" t="s">
        <v>263</v>
      </c>
    </row>
    <row r="22" spans="1:6" x14ac:dyDescent="0.15">
      <c r="A22" t="s">
        <v>21</v>
      </c>
      <c r="C22" t="s">
        <v>883</v>
      </c>
      <c r="F22" t="s">
        <v>264</v>
      </c>
    </row>
    <row r="23" spans="1:6" x14ac:dyDescent="0.15">
      <c r="A23" t="s">
        <v>22</v>
      </c>
      <c r="C23" t="s">
        <v>884</v>
      </c>
      <c r="F23" t="s">
        <v>265</v>
      </c>
    </row>
    <row r="24" spans="1:6" x14ac:dyDescent="0.15">
      <c r="A24" t="s">
        <v>23</v>
      </c>
      <c r="C24" t="s">
        <v>885</v>
      </c>
      <c r="F24" t="s">
        <v>266</v>
      </c>
    </row>
    <row r="25" spans="1:6" x14ac:dyDescent="0.15">
      <c r="A25" t="s">
        <v>24</v>
      </c>
      <c r="C25" t="s">
        <v>886</v>
      </c>
      <c r="F25" t="s">
        <v>267</v>
      </c>
    </row>
    <row r="26" spans="1:6" x14ac:dyDescent="0.15">
      <c r="A26" t="s">
        <v>25</v>
      </c>
      <c r="C26" t="s">
        <v>887</v>
      </c>
      <c r="F26" t="s">
        <v>268</v>
      </c>
    </row>
    <row r="27" spans="1:6" x14ac:dyDescent="0.15">
      <c r="A27" t="s">
        <v>26</v>
      </c>
      <c r="C27" t="s">
        <v>888</v>
      </c>
      <c r="F27" t="s">
        <v>269</v>
      </c>
    </row>
    <row r="28" spans="1:6" x14ac:dyDescent="0.15">
      <c r="A28" t="s">
        <v>27</v>
      </c>
      <c r="C28" t="s">
        <v>889</v>
      </c>
      <c r="F28" t="s">
        <v>270</v>
      </c>
    </row>
    <row r="29" spans="1:6" x14ac:dyDescent="0.15">
      <c r="A29" t="s">
        <v>28</v>
      </c>
      <c r="C29" t="s">
        <v>890</v>
      </c>
      <c r="F29" t="s">
        <v>271</v>
      </c>
    </row>
    <row r="30" spans="1:6" x14ac:dyDescent="0.15">
      <c r="A30" t="s">
        <v>29</v>
      </c>
      <c r="C30" t="s">
        <v>891</v>
      </c>
      <c r="F30" t="s">
        <v>272</v>
      </c>
    </row>
    <row r="31" spans="1:6" x14ac:dyDescent="0.15">
      <c r="A31" t="s">
        <v>30</v>
      </c>
      <c r="C31" t="s">
        <v>892</v>
      </c>
      <c r="F31" t="s">
        <v>273</v>
      </c>
    </row>
    <row r="32" spans="1:6" x14ac:dyDescent="0.15">
      <c r="A32" t="s">
        <v>31</v>
      </c>
      <c r="C32" t="s">
        <v>893</v>
      </c>
      <c r="F32" t="s">
        <v>229</v>
      </c>
    </row>
    <row r="33" spans="1:6" x14ac:dyDescent="0.15">
      <c r="A33" t="s">
        <v>32</v>
      </c>
      <c r="C33" t="s">
        <v>894</v>
      </c>
      <c r="F33" t="s">
        <v>274</v>
      </c>
    </row>
    <row r="34" spans="1:6" x14ac:dyDescent="0.15">
      <c r="A34" t="s">
        <v>33</v>
      </c>
      <c r="C34" t="s">
        <v>895</v>
      </c>
      <c r="F34" t="s">
        <v>275</v>
      </c>
    </row>
    <row r="35" spans="1:6" x14ac:dyDescent="0.15">
      <c r="A35" t="s">
        <v>34</v>
      </c>
      <c r="C35" t="s">
        <v>896</v>
      </c>
      <c r="F35" t="s">
        <v>276</v>
      </c>
    </row>
    <row r="36" spans="1:6" x14ac:dyDescent="0.15">
      <c r="A36" t="s">
        <v>35</v>
      </c>
      <c r="C36" t="s">
        <v>897</v>
      </c>
      <c r="F36" t="s">
        <v>277</v>
      </c>
    </row>
    <row r="37" spans="1:6" x14ac:dyDescent="0.15">
      <c r="A37" t="s">
        <v>36</v>
      </c>
      <c r="C37" t="s">
        <v>898</v>
      </c>
      <c r="F37" t="s">
        <v>278</v>
      </c>
    </row>
    <row r="38" spans="1:6" x14ac:dyDescent="0.15">
      <c r="A38" t="s">
        <v>37</v>
      </c>
      <c r="C38" t="s">
        <v>899</v>
      </c>
      <c r="F38" t="s">
        <v>279</v>
      </c>
    </row>
    <row r="39" spans="1:6" x14ac:dyDescent="0.15">
      <c r="A39" t="s">
        <v>38</v>
      </c>
      <c r="C39" t="s">
        <v>900</v>
      </c>
      <c r="F39" t="s">
        <v>280</v>
      </c>
    </row>
    <row r="40" spans="1:6" x14ac:dyDescent="0.15">
      <c r="A40" t="s">
        <v>39</v>
      </c>
      <c r="C40" t="s">
        <v>901</v>
      </c>
      <c r="F40" t="s">
        <v>281</v>
      </c>
    </row>
    <row r="41" spans="1:6" x14ac:dyDescent="0.15">
      <c r="A41" t="s">
        <v>40</v>
      </c>
      <c r="C41" t="s">
        <v>902</v>
      </c>
      <c r="F41" t="s">
        <v>282</v>
      </c>
    </row>
    <row r="42" spans="1:6" x14ac:dyDescent="0.15">
      <c r="A42" t="s">
        <v>41</v>
      </c>
      <c r="C42" t="s">
        <v>903</v>
      </c>
      <c r="F42" t="s">
        <v>283</v>
      </c>
    </row>
    <row r="43" spans="1:6" x14ac:dyDescent="0.15">
      <c r="A43" t="s">
        <v>42</v>
      </c>
      <c r="C43" t="s">
        <v>904</v>
      </c>
      <c r="F43" t="s">
        <v>284</v>
      </c>
    </row>
    <row r="44" spans="1:6" x14ac:dyDescent="0.15">
      <c r="A44" t="s">
        <v>43</v>
      </c>
      <c r="C44" t="s">
        <v>905</v>
      </c>
      <c r="F44" t="s">
        <v>285</v>
      </c>
    </row>
    <row r="45" spans="1:6" x14ac:dyDescent="0.15">
      <c r="A45" t="s">
        <v>44</v>
      </c>
      <c r="C45" t="s">
        <v>906</v>
      </c>
      <c r="F45" t="s">
        <v>286</v>
      </c>
    </row>
    <row r="46" spans="1:6" x14ac:dyDescent="0.15">
      <c r="A46" t="s">
        <v>45</v>
      </c>
      <c r="C46" t="s">
        <v>907</v>
      </c>
      <c r="F46" t="s">
        <v>287</v>
      </c>
    </row>
    <row r="47" spans="1:6" x14ac:dyDescent="0.15">
      <c r="A47" t="s">
        <v>46</v>
      </c>
      <c r="C47" t="s">
        <v>908</v>
      </c>
      <c r="F47" t="s">
        <v>288</v>
      </c>
    </row>
    <row r="48" spans="1:6" x14ac:dyDescent="0.15">
      <c r="A48" t="s">
        <v>47</v>
      </c>
      <c r="C48" t="s">
        <v>909</v>
      </c>
      <c r="F48" t="s">
        <v>289</v>
      </c>
    </row>
    <row r="49" spans="1:6" x14ac:dyDescent="0.15">
      <c r="A49" t="s">
        <v>48</v>
      </c>
      <c r="C49" t="s">
        <v>910</v>
      </c>
      <c r="F49" t="s">
        <v>290</v>
      </c>
    </row>
    <row r="50" spans="1:6" x14ac:dyDescent="0.15">
      <c r="A50" t="s">
        <v>49</v>
      </c>
      <c r="C50" t="s">
        <v>911</v>
      </c>
      <c r="F50" t="s">
        <v>291</v>
      </c>
    </row>
    <row r="51" spans="1:6" x14ac:dyDescent="0.15">
      <c r="A51" t="s">
        <v>50</v>
      </c>
      <c r="C51" t="s">
        <v>912</v>
      </c>
      <c r="F51" t="s">
        <v>292</v>
      </c>
    </row>
    <row r="52" spans="1:6" x14ac:dyDescent="0.15">
      <c r="A52" t="s">
        <v>51</v>
      </c>
      <c r="C52" t="s">
        <v>913</v>
      </c>
      <c r="F52" t="s">
        <v>293</v>
      </c>
    </row>
    <row r="53" spans="1:6" x14ac:dyDescent="0.15">
      <c r="A53" t="s">
        <v>52</v>
      </c>
      <c r="C53" t="s">
        <v>914</v>
      </c>
      <c r="F53" t="s">
        <v>294</v>
      </c>
    </row>
    <row r="54" spans="1:6" x14ac:dyDescent="0.15">
      <c r="A54" t="s">
        <v>53</v>
      </c>
      <c r="C54" t="s">
        <v>915</v>
      </c>
      <c r="F54" t="s">
        <v>295</v>
      </c>
    </row>
    <row r="55" spans="1:6" x14ac:dyDescent="0.15">
      <c r="A55" t="s">
        <v>54</v>
      </c>
      <c r="C55" t="s">
        <v>916</v>
      </c>
      <c r="F55" t="s">
        <v>296</v>
      </c>
    </row>
    <row r="56" spans="1:6" x14ac:dyDescent="0.15">
      <c r="A56" t="s">
        <v>55</v>
      </c>
      <c r="C56" t="s">
        <v>917</v>
      </c>
      <c r="F56" t="s">
        <v>297</v>
      </c>
    </row>
    <row r="57" spans="1:6" x14ac:dyDescent="0.15">
      <c r="A57" t="s">
        <v>56</v>
      </c>
      <c r="C57" t="s">
        <v>918</v>
      </c>
      <c r="F57" t="s">
        <v>298</v>
      </c>
    </row>
    <row r="58" spans="1:6" x14ac:dyDescent="0.15">
      <c r="A58" t="s">
        <v>57</v>
      </c>
      <c r="C58" t="s">
        <v>919</v>
      </c>
      <c r="F58" t="s">
        <v>299</v>
      </c>
    </row>
    <row r="59" spans="1:6" x14ac:dyDescent="0.15">
      <c r="A59" t="s">
        <v>58</v>
      </c>
      <c r="C59" t="s">
        <v>920</v>
      </c>
      <c r="F59" t="s">
        <v>300</v>
      </c>
    </row>
    <row r="60" spans="1:6" x14ac:dyDescent="0.15">
      <c r="A60" t="s">
        <v>59</v>
      </c>
      <c r="C60" t="s">
        <v>921</v>
      </c>
      <c r="F60" t="s">
        <v>301</v>
      </c>
    </row>
    <row r="61" spans="1:6" x14ac:dyDescent="0.15">
      <c r="A61" t="s">
        <v>60</v>
      </c>
      <c r="C61" t="s">
        <v>922</v>
      </c>
      <c r="F61" t="s">
        <v>302</v>
      </c>
    </row>
    <row r="62" spans="1:6" x14ac:dyDescent="0.15">
      <c r="A62" t="s">
        <v>61</v>
      </c>
      <c r="C62" t="s">
        <v>923</v>
      </c>
      <c r="F62" t="s">
        <v>303</v>
      </c>
    </row>
    <row r="63" spans="1:6" x14ac:dyDescent="0.15">
      <c r="A63" t="s">
        <v>62</v>
      </c>
      <c r="C63" t="s">
        <v>924</v>
      </c>
      <c r="F63" t="s">
        <v>304</v>
      </c>
    </row>
    <row r="64" spans="1:6" x14ac:dyDescent="0.15">
      <c r="A64" t="s">
        <v>63</v>
      </c>
      <c r="C64" t="s">
        <v>925</v>
      </c>
      <c r="F64" t="s">
        <v>305</v>
      </c>
    </row>
    <row r="65" spans="1:6" x14ac:dyDescent="0.15">
      <c r="A65" t="s">
        <v>64</v>
      </c>
      <c r="C65" t="s">
        <v>926</v>
      </c>
      <c r="F65" t="s">
        <v>306</v>
      </c>
    </row>
    <row r="66" spans="1:6" x14ac:dyDescent="0.15">
      <c r="A66" t="s">
        <v>65</v>
      </c>
      <c r="C66" t="s">
        <v>927</v>
      </c>
      <c r="F66" t="s">
        <v>307</v>
      </c>
    </row>
    <row r="67" spans="1:6" x14ac:dyDescent="0.15">
      <c r="A67" t="s">
        <v>66</v>
      </c>
      <c r="C67" t="s">
        <v>928</v>
      </c>
      <c r="F67" t="s">
        <v>308</v>
      </c>
    </row>
    <row r="68" spans="1:6" x14ac:dyDescent="0.15">
      <c r="A68" t="s">
        <v>67</v>
      </c>
      <c r="C68" t="s">
        <v>929</v>
      </c>
      <c r="F68" t="s">
        <v>309</v>
      </c>
    </row>
    <row r="69" spans="1:6" x14ac:dyDescent="0.15">
      <c r="A69" t="s">
        <v>68</v>
      </c>
      <c r="C69" t="s">
        <v>930</v>
      </c>
      <c r="F69" t="s">
        <v>310</v>
      </c>
    </row>
    <row r="70" spans="1:6" x14ac:dyDescent="0.15">
      <c r="A70" t="s">
        <v>69</v>
      </c>
      <c r="C70" t="s">
        <v>931</v>
      </c>
      <c r="F70" t="s">
        <v>311</v>
      </c>
    </row>
    <row r="71" spans="1:6" x14ac:dyDescent="0.15">
      <c r="A71" t="s">
        <v>70</v>
      </c>
      <c r="C71" t="s">
        <v>932</v>
      </c>
      <c r="F71" t="s">
        <v>312</v>
      </c>
    </row>
    <row r="72" spans="1:6" x14ac:dyDescent="0.15">
      <c r="A72" t="s">
        <v>71</v>
      </c>
      <c r="C72" t="s">
        <v>933</v>
      </c>
      <c r="F72" t="s">
        <v>313</v>
      </c>
    </row>
    <row r="73" spans="1:6" x14ac:dyDescent="0.15">
      <c r="A73" t="s">
        <v>72</v>
      </c>
      <c r="C73" t="s">
        <v>934</v>
      </c>
      <c r="F73" t="s">
        <v>314</v>
      </c>
    </row>
    <row r="74" spans="1:6" x14ac:dyDescent="0.15">
      <c r="A74" t="s">
        <v>73</v>
      </c>
      <c r="C74" t="s">
        <v>935</v>
      </c>
      <c r="F74" t="s">
        <v>315</v>
      </c>
    </row>
    <row r="75" spans="1:6" x14ac:dyDescent="0.15">
      <c r="A75" t="s">
        <v>74</v>
      </c>
      <c r="C75" t="s">
        <v>936</v>
      </c>
      <c r="F75" t="s">
        <v>316</v>
      </c>
    </row>
    <row r="76" spans="1:6" x14ac:dyDescent="0.15">
      <c r="A76" t="s">
        <v>75</v>
      </c>
      <c r="C76" t="s">
        <v>937</v>
      </c>
      <c r="F76" t="s">
        <v>317</v>
      </c>
    </row>
    <row r="77" spans="1:6" x14ac:dyDescent="0.15">
      <c r="A77" t="s">
        <v>76</v>
      </c>
      <c r="C77" t="s">
        <v>938</v>
      </c>
      <c r="F77" t="s">
        <v>318</v>
      </c>
    </row>
    <row r="78" spans="1:6" x14ac:dyDescent="0.15">
      <c r="A78" t="s">
        <v>77</v>
      </c>
      <c r="C78" t="s">
        <v>939</v>
      </c>
      <c r="F78" t="s">
        <v>319</v>
      </c>
    </row>
    <row r="79" spans="1:6" x14ac:dyDescent="0.15">
      <c r="A79" t="s">
        <v>78</v>
      </c>
      <c r="C79" t="s">
        <v>940</v>
      </c>
      <c r="F79" t="s">
        <v>320</v>
      </c>
    </row>
    <row r="80" spans="1:6" x14ac:dyDescent="0.15">
      <c r="A80" t="s">
        <v>79</v>
      </c>
      <c r="C80" t="s">
        <v>941</v>
      </c>
      <c r="F80" t="s">
        <v>321</v>
      </c>
    </row>
    <row r="81" spans="1:6" x14ac:dyDescent="0.15">
      <c r="A81" t="s">
        <v>80</v>
      </c>
      <c r="C81" t="s">
        <v>942</v>
      </c>
      <c r="F81" t="s">
        <v>322</v>
      </c>
    </row>
    <row r="82" spans="1:6" x14ac:dyDescent="0.15">
      <c r="A82" t="s">
        <v>81</v>
      </c>
      <c r="C82" t="s">
        <v>943</v>
      </c>
      <c r="F82" t="s">
        <v>323</v>
      </c>
    </row>
    <row r="83" spans="1:6" x14ac:dyDescent="0.15">
      <c r="A83" t="s">
        <v>82</v>
      </c>
      <c r="C83" t="s">
        <v>944</v>
      </c>
      <c r="F83" t="s">
        <v>324</v>
      </c>
    </row>
    <row r="84" spans="1:6" x14ac:dyDescent="0.15">
      <c r="A84" t="s">
        <v>83</v>
      </c>
      <c r="C84" t="s">
        <v>945</v>
      </c>
      <c r="F84" t="s">
        <v>325</v>
      </c>
    </row>
    <row r="85" spans="1:6" x14ac:dyDescent="0.15">
      <c r="A85" t="s">
        <v>84</v>
      </c>
      <c r="C85" t="s">
        <v>946</v>
      </c>
      <c r="F85" t="s">
        <v>326</v>
      </c>
    </row>
    <row r="86" spans="1:6" x14ac:dyDescent="0.15">
      <c r="A86" t="s">
        <v>85</v>
      </c>
      <c r="C86" t="s">
        <v>947</v>
      </c>
      <c r="F86" t="s">
        <v>327</v>
      </c>
    </row>
    <row r="87" spans="1:6" x14ac:dyDescent="0.15">
      <c r="A87" t="s">
        <v>86</v>
      </c>
      <c r="C87" t="s">
        <v>948</v>
      </c>
      <c r="F87" t="s">
        <v>13</v>
      </c>
    </row>
    <row r="88" spans="1:6" x14ac:dyDescent="0.15">
      <c r="A88" t="s">
        <v>87</v>
      </c>
      <c r="C88" t="s">
        <v>949</v>
      </c>
      <c r="F88" t="s">
        <v>328</v>
      </c>
    </row>
    <row r="89" spans="1:6" x14ac:dyDescent="0.15">
      <c r="A89" t="s">
        <v>88</v>
      </c>
      <c r="C89" t="s">
        <v>950</v>
      </c>
      <c r="F89" t="s">
        <v>329</v>
      </c>
    </row>
    <row r="90" spans="1:6" x14ac:dyDescent="0.15">
      <c r="A90" t="s">
        <v>89</v>
      </c>
      <c r="C90" t="s">
        <v>951</v>
      </c>
      <c r="F90" t="s">
        <v>330</v>
      </c>
    </row>
    <row r="91" spans="1:6" x14ac:dyDescent="0.15">
      <c r="A91" t="s">
        <v>90</v>
      </c>
      <c r="C91" t="s">
        <v>952</v>
      </c>
      <c r="F91" t="s">
        <v>331</v>
      </c>
    </row>
    <row r="92" spans="1:6" x14ac:dyDescent="0.15">
      <c r="A92" t="s">
        <v>91</v>
      </c>
      <c r="C92" t="s">
        <v>953</v>
      </c>
      <c r="F92" t="s">
        <v>332</v>
      </c>
    </row>
    <row r="93" spans="1:6" x14ac:dyDescent="0.15">
      <c r="A93" t="s">
        <v>92</v>
      </c>
      <c r="C93" t="s">
        <v>954</v>
      </c>
      <c r="F93" t="s">
        <v>333</v>
      </c>
    </row>
    <row r="94" spans="1:6" x14ac:dyDescent="0.15">
      <c r="A94" t="s">
        <v>93</v>
      </c>
      <c r="C94" t="s">
        <v>955</v>
      </c>
      <c r="F94" t="s">
        <v>334</v>
      </c>
    </row>
    <row r="95" spans="1:6" x14ac:dyDescent="0.15">
      <c r="A95" t="s">
        <v>94</v>
      </c>
      <c r="C95" t="s">
        <v>956</v>
      </c>
      <c r="F95" t="s">
        <v>335</v>
      </c>
    </row>
    <row r="96" spans="1:6" x14ac:dyDescent="0.15">
      <c r="A96" t="s">
        <v>95</v>
      </c>
      <c r="C96" t="s">
        <v>957</v>
      </c>
      <c r="F96" t="s">
        <v>336</v>
      </c>
    </row>
    <row r="97" spans="1:6" x14ac:dyDescent="0.15">
      <c r="A97" t="s">
        <v>96</v>
      </c>
      <c r="C97" t="s">
        <v>958</v>
      </c>
      <c r="F97" t="s">
        <v>337</v>
      </c>
    </row>
    <row r="98" spans="1:6" x14ac:dyDescent="0.15">
      <c r="A98" t="s">
        <v>97</v>
      </c>
      <c r="C98" t="s">
        <v>959</v>
      </c>
      <c r="F98" t="s">
        <v>338</v>
      </c>
    </row>
    <row r="99" spans="1:6" x14ac:dyDescent="0.15">
      <c r="A99" t="s">
        <v>98</v>
      </c>
      <c r="C99" t="s">
        <v>960</v>
      </c>
      <c r="F99" t="s">
        <v>339</v>
      </c>
    </row>
    <row r="100" spans="1:6" x14ac:dyDescent="0.15">
      <c r="A100" t="s">
        <v>99</v>
      </c>
      <c r="C100" t="s">
        <v>961</v>
      </c>
      <c r="F100" t="s">
        <v>340</v>
      </c>
    </row>
    <row r="101" spans="1:6" x14ac:dyDescent="0.15">
      <c r="A101" t="s">
        <v>100</v>
      </c>
      <c r="C101" t="s">
        <v>962</v>
      </c>
      <c r="F101" t="s">
        <v>341</v>
      </c>
    </row>
    <row r="102" spans="1:6" x14ac:dyDescent="0.15">
      <c r="A102" t="s">
        <v>101</v>
      </c>
      <c r="C102" t="s">
        <v>963</v>
      </c>
      <c r="F102" t="s">
        <v>342</v>
      </c>
    </row>
    <row r="103" spans="1:6" x14ac:dyDescent="0.15">
      <c r="A103" t="s">
        <v>102</v>
      </c>
      <c r="C103" t="s">
        <v>964</v>
      </c>
      <c r="F103" t="s">
        <v>343</v>
      </c>
    </row>
    <row r="104" spans="1:6" x14ac:dyDescent="0.15">
      <c r="A104" t="s">
        <v>103</v>
      </c>
      <c r="C104" t="s">
        <v>965</v>
      </c>
      <c r="F104" t="s">
        <v>344</v>
      </c>
    </row>
    <row r="105" spans="1:6" x14ac:dyDescent="0.15">
      <c r="A105" t="s">
        <v>104</v>
      </c>
      <c r="C105" t="s">
        <v>966</v>
      </c>
      <c r="F105" t="s">
        <v>345</v>
      </c>
    </row>
    <row r="106" spans="1:6" x14ac:dyDescent="0.15">
      <c r="A106" t="s">
        <v>105</v>
      </c>
      <c r="C106" t="s">
        <v>967</v>
      </c>
      <c r="F106" t="s">
        <v>346</v>
      </c>
    </row>
    <row r="107" spans="1:6" x14ac:dyDescent="0.15">
      <c r="A107" t="s">
        <v>106</v>
      </c>
      <c r="C107" t="s">
        <v>968</v>
      </c>
      <c r="F107" t="s">
        <v>347</v>
      </c>
    </row>
    <row r="108" spans="1:6" x14ac:dyDescent="0.15">
      <c r="A108" t="s">
        <v>107</v>
      </c>
      <c r="C108" t="s">
        <v>969</v>
      </c>
      <c r="F108" t="s">
        <v>348</v>
      </c>
    </row>
    <row r="109" spans="1:6" x14ac:dyDescent="0.15">
      <c r="A109" t="s">
        <v>108</v>
      </c>
      <c r="C109" t="s">
        <v>970</v>
      </c>
      <c r="F109" t="s">
        <v>349</v>
      </c>
    </row>
    <row r="110" spans="1:6" x14ac:dyDescent="0.15">
      <c r="A110" t="s">
        <v>109</v>
      </c>
      <c r="C110" t="s">
        <v>971</v>
      </c>
      <c r="F110" t="s">
        <v>350</v>
      </c>
    </row>
    <row r="111" spans="1:6" x14ac:dyDescent="0.15">
      <c r="A111" t="s">
        <v>110</v>
      </c>
      <c r="C111" t="s">
        <v>972</v>
      </c>
      <c r="F111" t="s">
        <v>351</v>
      </c>
    </row>
    <row r="112" spans="1:6" x14ac:dyDescent="0.15">
      <c r="A112" t="s">
        <v>111</v>
      </c>
      <c r="C112" t="s">
        <v>973</v>
      </c>
      <c r="F112" t="s">
        <v>352</v>
      </c>
    </row>
    <row r="113" spans="1:6" x14ac:dyDescent="0.15">
      <c r="A113" t="s">
        <v>112</v>
      </c>
      <c r="C113" t="s">
        <v>974</v>
      </c>
      <c r="F113" t="s">
        <v>353</v>
      </c>
    </row>
    <row r="114" spans="1:6" x14ac:dyDescent="0.15">
      <c r="A114" t="s">
        <v>113</v>
      </c>
      <c r="C114" t="s">
        <v>975</v>
      </c>
      <c r="F114" t="s">
        <v>354</v>
      </c>
    </row>
    <row r="115" spans="1:6" x14ac:dyDescent="0.15">
      <c r="A115" t="s">
        <v>114</v>
      </c>
      <c r="C115" t="s">
        <v>976</v>
      </c>
      <c r="F115" t="s">
        <v>355</v>
      </c>
    </row>
    <row r="116" spans="1:6" x14ac:dyDescent="0.15">
      <c r="A116" t="s">
        <v>115</v>
      </c>
      <c r="C116" t="s">
        <v>977</v>
      </c>
      <c r="F116" t="s">
        <v>356</v>
      </c>
    </row>
    <row r="117" spans="1:6" x14ac:dyDescent="0.15">
      <c r="A117" t="s">
        <v>116</v>
      </c>
      <c r="C117" t="s">
        <v>978</v>
      </c>
      <c r="F117" t="s">
        <v>357</v>
      </c>
    </row>
    <row r="118" spans="1:6" x14ac:dyDescent="0.15">
      <c r="A118" t="s">
        <v>117</v>
      </c>
      <c r="C118" t="s">
        <v>979</v>
      </c>
      <c r="F118" t="s">
        <v>358</v>
      </c>
    </row>
    <row r="119" spans="1:6" x14ac:dyDescent="0.15">
      <c r="A119" t="s">
        <v>118</v>
      </c>
      <c r="C119" t="s">
        <v>980</v>
      </c>
      <c r="F119" t="s">
        <v>359</v>
      </c>
    </row>
    <row r="120" spans="1:6" x14ac:dyDescent="0.15">
      <c r="A120" t="s">
        <v>119</v>
      </c>
      <c r="C120" t="s">
        <v>981</v>
      </c>
      <c r="F120" t="s">
        <v>360</v>
      </c>
    </row>
    <row r="121" spans="1:6" x14ac:dyDescent="0.15">
      <c r="A121" t="s">
        <v>120</v>
      </c>
      <c r="C121" t="s">
        <v>982</v>
      </c>
      <c r="F121" t="s">
        <v>361</v>
      </c>
    </row>
    <row r="122" spans="1:6" x14ac:dyDescent="0.15">
      <c r="A122" t="s">
        <v>121</v>
      </c>
      <c r="C122" t="s">
        <v>983</v>
      </c>
      <c r="F122" t="s">
        <v>362</v>
      </c>
    </row>
    <row r="123" spans="1:6" x14ac:dyDescent="0.15">
      <c r="A123" t="s">
        <v>122</v>
      </c>
      <c r="C123" t="s">
        <v>984</v>
      </c>
      <c r="F123" t="s">
        <v>363</v>
      </c>
    </row>
    <row r="124" spans="1:6" x14ac:dyDescent="0.15">
      <c r="A124" t="s">
        <v>123</v>
      </c>
      <c r="C124" t="s">
        <v>985</v>
      </c>
      <c r="F124" t="s">
        <v>364</v>
      </c>
    </row>
    <row r="125" spans="1:6" x14ac:dyDescent="0.15">
      <c r="A125" t="s">
        <v>124</v>
      </c>
      <c r="C125" t="s">
        <v>986</v>
      </c>
      <c r="F125" t="s">
        <v>365</v>
      </c>
    </row>
    <row r="126" spans="1:6" x14ac:dyDescent="0.15">
      <c r="A126" t="s">
        <v>125</v>
      </c>
      <c r="C126" t="s">
        <v>987</v>
      </c>
      <c r="F126" t="s">
        <v>366</v>
      </c>
    </row>
    <row r="127" spans="1:6" x14ac:dyDescent="0.15">
      <c r="A127" t="s">
        <v>126</v>
      </c>
      <c r="C127" t="s">
        <v>988</v>
      </c>
      <c r="F127" t="s">
        <v>367</v>
      </c>
    </row>
    <row r="128" spans="1:6" x14ac:dyDescent="0.15">
      <c r="A128" t="s">
        <v>127</v>
      </c>
      <c r="C128" t="s">
        <v>989</v>
      </c>
      <c r="F128" t="s">
        <v>368</v>
      </c>
    </row>
    <row r="129" spans="1:6" x14ac:dyDescent="0.15">
      <c r="A129" t="s">
        <v>128</v>
      </c>
      <c r="C129" t="s">
        <v>990</v>
      </c>
      <c r="F129" t="s">
        <v>369</v>
      </c>
    </row>
    <row r="130" spans="1:6" x14ac:dyDescent="0.15">
      <c r="A130" t="s">
        <v>129</v>
      </c>
      <c r="C130" t="s">
        <v>991</v>
      </c>
      <c r="F130" t="s">
        <v>370</v>
      </c>
    </row>
    <row r="131" spans="1:6" x14ac:dyDescent="0.15">
      <c r="A131" t="s">
        <v>130</v>
      </c>
      <c r="C131" t="s">
        <v>992</v>
      </c>
      <c r="F131" t="s">
        <v>371</v>
      </c>
    </row>
    <row r="132" spans="1:6" x14ac:dyDescent="0.15">
      <c r="A132" t="s">
        <v>131</v>
      </c>
      <c r="C132" t="s">
        <v>993</v>
      </c>
      <c r="F132" t="s">
        <v>372</v>
      </c>
    </row>
    <row r="133" spans="1:6" x14ac:dyDescent="0.15">
      <c r="A133" t="s">
        <v>132</v>
      </c>
      <c r="C133" t="s">
        <v>994</v>
      </c>
      <c r="F133" t="s">
        <v>373</v>
      </c>
    </row>
    <row r="134" spans="1:6" x14ac:dyDescent="0.15">
      <c r="A134" t="s">
        <v>133</v>
      </c>
      <c r="C134" t="s">
        <v>995</v>
      </c>
      <c r="F134" t="s">
        <v>374</v>
      </c>
    </row>
    <row r="135" spans="1:6" x14ac:dyDescent="0.15">
      <c r="A135" t="s">
        <v>134</v>
      </c>
      <c r="C135" t="s">
        <v>996</v>
      </c>
      <c r="F135" t="s">
        <v>375</v>
      </c>
    </row>
    <row r="136" spans="1:6" x14ac:dyDescent="0.15">
      <c r="A136" t="s">
        <v>135</v>
      </c>
      <c r="C136" t="s">
        <v>997</v>
      </c>
      <c r="F136" t="s">
        <v>376</v>
      </c>
    </row>
    <row r="137" spans="1:6" x14ac:dyDescent="0.15">
      <c r="A137" t="s">
        <v>136</v>
      </c>
      <c r="C137" t="s">
        <v>998</v>
      </c>
      <c r="F137" t="s">
        <v>377</v>
      </c>
    </row>
    <row r="138" spans="1:6" x14ac:dyDescent="0.15">
      <c r="A138" t="s">
        <v>137</v>
      </c>
      <c r="C138" t="s">
        <v>999</v>
      </c>
      <c r="F138" t="s">
        <v>378</v>
      </c>
    </row>
    <row r="139" spans="1:6" x14ac:dyDescent="0.15">
      <c r="A139" t="s">
        <v>138</v>
      </c>
      <c r="C139" t="s">
        <v>1000</v>
      </c>
      <c r="F139" t="s">
        <v>379</v>
      </c>
    </row>
    <row r="140" spans="1:6" x14ac:dyDescent="0.15">
      <c r="A140" t="s">
        <v>139</v>
      </c>
      <c r="C140" t="s">
        <v>1001</v>
      </c>
      <c r="F140" t="s">
        <v>380</v>
      </c>
    </row>
    <row r="141" spans="1:6" x14ac:dyDescent="0.15">
      <c r="A141" t="s">
        <v>140</v>
      </c>
      <c r="C141" t="s">
        <v>1002</v>
      </c>
      <c r="F141" t="s">
        <v>381</v>
      </c>
    </row>
    <row r="142" spans="1:6" x14ac:dyDescent="0.15">
      <c r="A142" t="s">
        <v>141</v>
      </c>
      <c r="C142" t="s">
        <v>1003</v>
      </c>
      <c r="F142" t="s">
        <v>382</v>
      </c>
    </row>
    <row r="143" spans="1:6" x14ac:dyDescent="0.15">
      <c r="A143" t="s">
        <v>142</v>
      </c>
      <c r="C143" t="s">
        <v>1004</v>
      </c>
      <c r="F143" t="s">
        <v>383</v>
      </c>
    </row>
    <row r="144" spans="1:6" x14ac:dyDescent="0.15">
      <c r="A144" t="s">
        <v>143</v>
      </c>
      <c r="C144" t="s">
        <v>1005</v>
      </c>
      <c r="F144" t="s">
        <v>384</v>
      </c>
    </row>
    <row r="145" spans="1:6" x14ac:dyDescent="0.15">
      <c r="A145" t="s">
        <v>144</v>
      </c>
      <c r="C145" t="s">
        <v>1006</v>
      </c>
      <c r="F145" t="s">
        <v>385</v>
      </c>
    </row>
    <row r="146" spans="1:6" x14ac:dyDescent="0.15">
      <c r="A146" t="s">
        <v>145</v>
      </c>
      <c r="C146" t="s">
        <v>1007</v>
      </c>
      <c r="F146" t="s">
        <v>386</v>
      </c>
    </row>
    <row r="147" spans="1:6" x14ac:dyDescent="0.15">
      <c r="A147" t="s">
        <v>146</v>
      </c>
      <c r="C147" t="s">
        <v>1008</v>
      </c>
      <c r="F147" t="s">
        <v>387</v>
      </c>
    </row>
    <row r="148" spans="1:6" x14ac:dyDescent="0.15">
      <c r="A148" t="s">
        <v>147</v>
      </c>
      <c r="C148" t="s">
        <v>1009</v>
      </c>
      <c r="F148" t="s">
        <v>388</v>
      </c>
    </row>
    <row r="149" spans="1:6" x14ac:dyDescent="0.15">
      <c r="A149" t="s">
        <v>148</v>
      </c>
      <c r="C149" t="s">
        <v>1010</v>
      </c>
      <c r="F149" t="s">
        <v>389</v>
      </c>
    </row>
    <row r="150" spans="1:6" x14ac:dyDescent="0.15">
      <c r="A150" t="s">
        <v>149</v>
      </c>
      <c r="C150" t="s">
        <v>1011</v>
      </c>
      <c r="F150" t="s">
        <v>390</v>
      </c>
    </row>
    <row r="151" spans="1:6" x14ac:dyDescent="0.15">
      <c r="A151" t="s">
        <v>150</v>
      </c>
      <c r="C151" t="s">
        <v>1012</v>
      </c>
      <c r="F151" t="s">
        <v>391</v>
      </c>
    </row>
    <row r="152" spans="1:6" x14ac:dyDescent="0.15">
      <c r="A152" t="s">
        <v>151</v>
      </c>
      <c r="C152" t="s">
        <v>1013</v>
      </c>
      <c r="F152" t="s">
        <v>392</v>
      </c>
    </row>
    <row r="153" spans="1:6" x14ac:dyDescent="0.15">
      <c r="A153" t="s">
        <v>152</v>
      </c>
      <c r="C153" t="s">
        <v>1014</v>
      </c>
      <c r="F153" t="s">
        <v>393</v>
      </c>
    </row>
    <row r="154" spans="1:6" x14ac:dyDescent="0.15">
      <c r="A154" t="s">
        <v>153</v>
      </c>
      <c r="C154" t="s">
        <v>1015</v>
      </c>
      <c r="F154" t="s">
        <v>394</v>
      </c>
    </row>
    <row r="155" spans="1:6" x14ac:dyDescent="0.15">
      <c r="A155" t="s">
        <v>154</v>
      </c>
      <c r="C155" t="s">
        <v>1016</v>
      </c>
      <c r="F155" t="s">
        <v>395</v>
      </c>
    </row>
    <row r="156" spans="1:6" x14ac:dyDescent="0.15">
      <c r="A156" t="s">
        <v>155</v>
      </c>
      <c r="C156" t="s">
        <v>1017</v>
      </c>
      <c r="F156" t="s">
        <v>396</v>
      </c>
    </row>
    <row r="157" spans="1:6" x14ac:dyDescent="0.15">
      <c r="A157" t="s">
        <v>156</v>
      </c>
      <c r="C157" t="s">
        <v>1018</v>
      </c>
      <c r="F157" t="s">
        <v>397</v>
      </c>
    </row>
    <row r="158" spans="1:6" x14ac:dyDescent="0.15">
      <c r="A158" t="s">
        <v>157</v>
      </c>
      <c r="C158" t="s">
        <v>1019</v>
      </c>
      <c r="F158" t="s">
        <v>398</v>
      </c>
    </row>
    <row r="159" spans="1:6" x14ac:dyDescent="0.15">
      <c r="A159" t="s">
        <v>158</v>
      </c>
      <c r="C159" t="s">
        <v>1020</v>
      </c>
      <c r="F159" t="s">
        <v>399</v>
      </c>
    </row>
    <row r="160" spans="1:6" x14ac:dyDescent="0.15">
      <c r="A160" t="s">
        <v>159</v>
      </c>
      <c r="C160" t="s">
        <v>1021</v>
      </c>
      <c r="F160" t="s">
        <v>400</v>
      </c>
    </row>
    <row r="161" spans="1:6" x14ac:dyDescent="0.15">
      <c r="A161" t="s">
        <v>160</v>
      </c>
      <c r="C161" t="s">
        <v>1022</v>
      </c>
      <c r="F161" t="s">
        <v>401</v>
      </c>
    </row>
    <row r="162" spans="1:6" x14ac:dyDescent="0.15">
      <c r="A162" t="s">
        <v>161</v>
      </c>
      <c r="C162" t="s">
        <v>1023</v>
      </c>
      <c r="F162" t="s">
        <v>402</v>
      </c>
    </row>
    <row r="163" spans="1:6" x14ac:dyDescent="0.15">
      <c r="A163" t="s">
        <v>162</v>
      </c>
      <c r="C163" t="s">
        <v>1024</v>
      </c>
      <c r="F163" t="s">
        <v>403</v>
      </c>
    </row>
    <row r="164" spans="1:6" x14ac:dyDescent="0.15">
      <c r="A164" t="s">
        <v>163</v>
      </c>
      <c r="C164" t="s">
        <v>1025</v>
      </c>
      <c r="F164" t="s">
        <v>404</v>
      </c>
    </row>
    <row r="165" spans="1:6" x14ac:dyDescent="0.15">
      <c r="A165" t="s">
        <v>164</v>
      </c>
      <c r="C165" t="s">
        <v>1026</v>
      </c>
      <c r="F165" t="s">
        <v>405</v>
      </c>
    </row>
    <row r="166" spans="1:6" x14ac:dyDescent="0.15">
      <c r="A166" t="s">
        <v>165</v>
      </c>
      <c r="C166" t="s">
        <v>1027</v>
      </c>
      <c r="F166" t="s">
        <v>406</v>
      </c>
    </row>
    <row r="167" spans="1:6" x14ac:dyDescent="0.15">
      <c r="A167" t="s">
        <v>166</v>
      </c>
      <c r="C167" t="s">
        <v>1028</v>
      </c>
      <c r="F167" t="s">
        <v>407</v>
      </c>
    </row>
    <row r="168" spans="1:6" x14ac:dyDescent="0.15">
      <c r="A168" t="s">
        <v>167</v>
      </c>
      <c r="C168" t="s">
        <v>1029</v>
      </c>
      <c r="F168" t="s">
        <v>408</v>
      </c>
    </row>
    <row r="169" spans="1:6" x14ac:dyDescent="0.15">
      <c r="A169" t="s">
        <v>168</v>
      </c>
      <c r="C169" t="s">
        <v>1030</v>
      </c>
      <c r="F169" t="s">
        <v>409</v>
      </c>
    </row>
    <row r="170" spans="1:6" x14ac:dyDescent="0.15">
      <c r="A170" t="s">
        <v>169</v>
      </c>
      <c r="C170" t="s">
        <v>1031</v>
      </c>
      <c r="F170" t="s">
        <v>410</v>
      </c>
    </row>
    <row r="171" spans="1:6" x14ac:dyDescent="0.15">
      <c r="A171" t="s">
        <v>170</v>
      </c>
      <c r="C171" t="s">
        <v>1032</v>
      </c>
      <c r="F171" t="s">
        <v>411</v>
      </c>
    </row>
    <row r="172" spans="1:6" x14ac:dyDescent="0.15">
      <c r="A172" t="s">
        <v>171</v>
      </c>
      <c r="C172" t="s">
        <v>1033</v>
      </c>
      <c r="F172" t="s">
        <v>412</v>
      </c>
    </row>
    <row r="173" spans="1:6" x14ac:dyDescent="0.15">
      <c r="A173" t="s">
        <v>172</v>
      </c>
      <c r="C173" t="s">
        <v>1034</v>
      </c>
      <c r="F173" t="s">
        <v>413</v>
      </c>
    </row>
    <row r="174" spans="1:6" x14ac:dyDescent="0.15">
      <c r="A174" t="s">
        <v>173</v>
      </c>
      <c r="C174" t="s">
        <v>1035</v>
      </c>
      <c r="F174" t="s">
        <v>414</v>
      </c>
    </row>
    <row r="175" spans="1:6" x14ac:dyDescent="0.15">
      <c r="A175" t="s">
        <v>174</v>
      </c>
      <c r="C175" t="s">
        <v>1036</v>
      </c>
      <c r="F175" t="s">
        <v>415</v>
      </c>
    </row>
    <row r="176" spans="1:6" x14ac:dyDescent="0.15">
      <c r="A176" t="s">
        <v>175</v>
      </c>
      <c r="C176" t="s">
        <v>1037</v>
      </c>
      <c r="F176" t="s">
        <v>416</v>
      </c>
    </row>
    <row r="177" spans="1:6" x14ac:dyDescent="0.15">
      <c r="A177" t="s">
        <v>176</v>
      </c>
      <c r="C177" t="s">
        <v>1038</v>
      </c>
      <c r="F177" t="s">
        <v>417</v>
      </c>
    </row>
    <row r="178" spans="1:6" x14ac:dyDescent="0.15">
      <c r="A178" t="s">
        <v>177</v>
      </c>
      <c r="C178" t="s">
        <v>1039</v>
      </c>
      <c r="F178" t="s">
        <v>418</v>
      </c>
    </row>
    <row r="179" spans="1:6" x14ac:dyDescent="0.15">
      <c r="A179" t="s">
        <v>178</v>
      </c>
      <c r="C179" t="s">
        <v>1040</v>
      </c>
      <c r="F179" t="s">
        <v>419</v>
      </c>
    </row>
    <row r="180" spans="1:6" x14ac:dyDescent="0.15">
      <c r="A180" t="s">
        <v>179</v>
      </c>
      <c r="C180" t="s">
        <v>1041</v>
      </c>
      <c r="F180" t="s">
        <v>420</v>
      </c>
    </row>
    <row r="181" spans="1:6" x14ac:dyDescent="0.15">
      <c r="A181" t="s">
        <v>180</v>
      </c>
      <c r="C181" t="s">
        <v>1042</v>
      </c>
      <c r="F181" t="s">
        <v>421</v>
      </c>
    </row>
    <row r="182" spans="1:6" x14ac:dyDescent="0.15">
      <c r="A182" t="s">
        <v>181</v>
      </c>
      <c r="C182" t="s">
        <v>1043</v>
      </c>
      <c r="F182" t="s">
        <v>422</v>
      </c>
    </row>
    <row r="183" spans="1:6" x14ac:dyDescent="0.15">
      <c r="A183" t="s">
        <v>182</v>
      </c>
      <c r="C183" t="s">
        <v>1044</v>
      </c>
      <c r="F183" t="s">
        <v>423</v>
      </c>
    </row>
    <row r="184" spans="1:6" x14ac:dyDescent="0.15">
      <c r="A184" t="s">
        <v>183</v>
      </c>
      <c r="C184" t="s">
        <v>1045</v>
      </c>
      <c r="F184" t="s">
        <v>424</v>
      </c>
    </row>
    <row r="185" spans="1:6" x14ac:dyDescent="0.15">
      <c r="A185" t="s">
        <v>184</v>
      </c>
      <c r="C185" t="s">
        <v>1046</v>
      </c>
      <c r="F185" t="s">
        <v>425</v>
      </c>
    </row>
    <row r="186" spans="1:6" x14ac:dyDescent="0.15">
      <c r="A186" t="s">
        <v>185</v>
      </c>
      <c r="C186" t="s">
        <v>1047</v>
      </c>
      <c r="F186" t="s">
        <v>426</v>
      </c>
    </row>
    <row r="187" spans="1:6" x14ac:dyDescent="0.15">
      <c r="A187" t="s">
        <v>186</v>
      </c>
      <c r="C187" t="s">
        <v>1048</v>
      </c>
      <c r="F187" t="s">
        <v>427</v>
      </c>
    </row>
    <row r="188" spans="1:6" x14ac:dyDescent="0.15">
      <c r="A188" t="s">
        <v>187</v>
      </c>
      <c r="C188" t="s">
        <v>1049</v>
      </c>
      <c r="F188" t="s">
        <v>428</v>
      </c>
    </row>
    <row r="189" spans="1:6" x14ac:dyDescent="0.15">
      <c r="A189" t="s">
        <v>188</v>
      </c>
      <c r="C189" t="s">
        <v>1050</v>
      </c>
      <c r="F189" t="s">
        <v>429</v>
      </c>
    </row>
    <row r="190" spans="1:6" x14ac:dyDescent="0.15">
      <c r="A190" t="s">
        <v>189</v>
      </c>
      <c r="C190" t="s">
        <v>1051</v>
      </c>
      <c r="F190" t="s">
        <v>430</v>
      </c>
    </row>
    <row r="191" spans="1:6" x14ac:dyDescent="0.15">
      <c r="A191" t="s">
        <v>190</v>
      </c>
      <c r="C191" t="s">
        <v>1052</v>
      </c>
      <c r="F191" t="s">
        <v>431</v>
      </c>
    </row>
    <row r="192" spans="1:6" x14ac:dyDescent="0.15">
      <c r="A192" t="s">
        <v>191</v>
      </c>
      <c r="C192" t="s">
        <v>1053</v>
      </c>
      <c r="F192" t="s">
        <v>432</v>
      </c>
    </row>
    <row r="193" spans="1:6" x14ac:dyDescent="0.15">
      <c r="A193" t="s">
        <v>192</v>
      </c>
      <c r="C193" t="s">
        <v>1054</v>
      </c>
      <c r="F193" t="s">
        <v>433</v>
      </c>
    </row>
    <row r="194" spans="1:6" x14ac:dyDescent="0.15">
      <c r="A194" t="s">
        <v>193</v>
      </c>
      <c r="C194" t="s">
        <v>1055</v>
      </c>
      <c r="F194" t="s">
        <v>434</v>
      </c>
    </row>
    <row r="195" spans="1:6" x14ac:dyDescent="0.15">
      <c r="A195" t="s">
        <v>194</v>
      </c>
      <c r="C195" t="s">
        <v>1056</v>
      </c>
      <c r="F195" t="s">
        <v>435</v>
      </c>
    </row>
    <row r="196" spans="1:6" x14ac:dyDescent="0.15">
      <c r="A196" t="s">
        <v>195</v>
      </c>
      <c r="C196" t="s">
        <v>1057</v>
      </c>
      <c r="F196" t="s">
        <v>436</v>
      </c>
    </row>
    <row r="197" spans="1:6" x14ac:dyDescent="0.15">
      <c r="A197" t="s">
        <v>196</v>
      </c>
      <c r="C197" t="s">
        <v>1058</v>
      </c>
      <c r="F197" t="s">
        <v>437</v>
      </c>
    </row>
    <row r="198" spans="1:6" x14ac:dyDescent="0.15">
      <c r="A198" t="s">
        <v>197</v>
      </c>
      <c r="C198" t="s">
        <v>1059</v>
      </c>
      <c r="F198" t="s">
        <v>438</v>
      </c>
    </row>
    <row r="199" spans="1:6" x14ac:dyDescent="0.15">
      <c r="A199" t="s">
        <v>198</v>
      </c>
      <c r="C199" t="s">
        <v>1060</v>
      </c>
      <c r="F199" t="s">
        <v>439</v>
      </c>
    </row>
    <row r="200" spans="1:6" x14ac:dyDescent="0.15">
      <c r="A200" t="s">
        <v>199</v>
      </c>
      <c r="C200" t="s">
        <v>1061</v>
      </c>
      <c r="F200" t="s">
        <v>440</v>
      </c>
    </row>
    <row r="201" spans="1:6" x14ac:dyDescent="0.15">
      <c r="A201" t="s">
        <v>200</v>
      </c>
      <c r="C201" t="s">
        <v>1062</v>
      </c>
      <c r="F201" t="s">
        <v>441</v>
      </c>
    </row>
    <row r="202" spans="1:6" x14ac:dyDescent="0.15">
      <c r="A202" t="s">
        <v>201</v>
      </c>
      <c r="C202" t="s">
        <v>1063</v>
      </c>
      <c r="F202" t="s">
        <v>442</v>
      </c>
    </row>
    <row r="203" spans="1:6" x14ac:dyDescent="0.15">
      <c r="A203" t="s">
        <v>202</v>
      </c>
      <c r="C203" t="s">
        <v>1064</v>
      </c>
      <c r="F203" t="s">
        <v>443</v>
      </c>
    </row>
    <row r="204" spans="1:6" x14ac:dyDescent="0.15">
      <c r="A204" t="s">
        <v>203</v>
      </c>
      <c r="C204" t="s">
        <v>1065</v>
      </c>
      <c r="F204" t="s">
        <v>444</v>
      </c>
    </row>
    <row r="205" spans="1:6" x14ac:dyDescent="0.15">
      <c r="A205" t="s">
        <v>204</v>
      </c>
      <c r="C205" t="s">
        <v>1066</v>
      </c>
      <c r="F205" t="s">
        <v>445</v>
      </c>
    </row>
    <row r="206" spans="1:6" x14ac:dyDescent="0.15">
      <c r="A206" t="s">
        <v>205</v>
      </c>
      <c r="C206" t="s">
        <v>1067</v>
      </c>
      <c r="F206" t="s">
        <v>446</v>
      </c>
    </row>
    <row r="207" spans="1:6" x14ac:dyDescent="0.15">
      <c r="A207" t="s">
        <v>206</v>
      </c>
      <c r="C207" t="s">
        <v>1068</v>
      </c>
      <c r="F207" t="s">
        <v>447</v>
      </c>
    </row>
    <row r="208" spans="1:6" x14ac:dyDescent="0.15">
      <c r="A208" t="s">
        <v>207</v>
      </c>
      <c r="C208" t="s">
        <v>1069</v>
      </c>
      <c r="F208" t="s">
        <v>448</v>
      </c>
    </row>
    <row r="209" spans="1:6" x14ac:dyDescent="0.15">
      <c r="A209" t="s">
        <v>208</v>
      </c>
      <c r="C209" t="s">
        <v>1070</v>
      </c>
      <c r="F209" t="s">
        <v>449</v>
      </c>
    </row>
    <row r="210" spans="1:6" x14ac:dyDescent="0.15">
      <c r="A210" t="s">
        <v>209</v>
      </c>
      <c r="C210" t="s">
        <v>1071</v>
      </c>
      <c r="F210" t="s">
        <v>450</v>
      </c>
    </row>
    <row r="211" spans="1:6" x14ac:dyDescent="0.15">
      <c r="A211" t="s">
        <v>210</v>
      </c>
      <c r="C211" t="s">
        <v>1072</v>
      </c>
      <c r="F211" t="s">
        <v>451</v>
      </c>
    </row>
    <row r="212" spans="1:6" x14ac:dyDescent="0.15">
      <c r="A212" t="s">
        <v>211</v>
      </c>
      <c r="C212" t="s">
        <v>1073</v>
      </c>
      <c r="F212" t="s">
        <v>452</v>
      </c>
    </row>
    <row r="213" spans="1:6" x14ac:dyDescent="0.15">
      <c r="A213" t="s">
        <v>212</v>
      </c>
      <c r="C213" t="s">
        <v>1074</v>
      </c>
      <c r="F213" t="s">
        <v>453</v>
      </c>
    </row>
    <row r="214" spans="1:6" x14ac:dyDescent="0.15">
      <c r="A214" t="s">
        <v>213</v>
      </c>
      <c r="C214" t="s">
        <v>1075</v>
      </c>
      <c r="F214" t="s">
        <v>454</v>
      </c>
    </row>
    <row r="215" spans="1:6" x14ac:dyDescent="0.15">
      <c r="A215" t="s">
        <v>214</v>
      </c>
      <c r="C215" t="s">
        <v>1076</v>
      </c>
      <c r="F215" t="s">
        <v>455</v>
      </c>
    </row>
    <row r="216" spans="1:6" x14ac:dyDescent="0.15">
      <c r="A216" t="s">
        <v>215</v>
      </c>
      <c r="C216" t="s">
        <v>1077</v>
      </c>
      <c r="F216" t="s">
        <v>456</v>
      </c>
    </row>
    <row r="217" spans="1:6" x14ac:dyDescent="0.15">
      <c r="A217" t="s">
        <v>216</v>
      </c>
      <c r="C217" t="s">
        <v>1078</v>
      </c>
      <c r="F217" t="s">
        <v>457</v>
      </c>
    </row>
    <row r="218" spans="1:6" x14ac:dyDescent="0.15">
      <c r="A218" t="s">
        <v>217</v>
      </c>
      <c r="C218" t="s">
        <v>1079</v>
      </c>
      <c r="F218" t="s">
        <v>458</v>
      </c>
    </row>
    <row r="219" spans="1:6" x14ac:dyDescent="0.15">
      <c r="A219" t="s">
        <v>218</v>
      </c>
      <c r="C219" t="s">
        <v>1080</v>
      </c>
      <c r="F219" t="s">
        <v>459</v>
      </c>
    </row>
    <row r="220" spans="1:6" x14ac:dyDescent="0.15">
      <c r="A220" t="s">
        <v>219</v>
      </c>
      <c r="C220" t="s">
        <v>1081</v>
      </c>
      <c r="F220" t="s">
        <v>460</v>
      </c>
    </row>
    <row r="221" spans="1:6" x14ac:dyDescent="0.15">
      <c r="A221" t="s">
        <v>220</v>
      </c>
      <c r="C221" t="s">
        <v>1082</v>
      </c>
      <c r="F221" t="s">
        <v>461</v>
      </c>
    </row>
    <row r="222" spans="1:6" x14ac:dyDescent="0.15">
      <c r="A222" t="s">
        <v>221</v>
      </c>
      <c r="C222" t="s">
        <v>1083</v>
      </c>
      <c r="F222" t="s">
        <v>462</v>
      </c>
    </row>
    <row r="223" spans="1:6" x14ac:dyDescent="0.15">
      <c r="A223" t="s">
        <v>222</v>
      </c>
      <c r="C223" t="s">
        <v>1084</v>
      </c>
      <c r="F223" t="s">
        <v>463</v>
      </c>
    </row>
    <row r="224" spans="1:6" x14ac:dyDescent="0.15">
      <c r="A224" t="s">
        <v>223</v>
      </c>
      <c r="C224" t="s">
        <v>1085</v>
      </c>
      <c r="F224" t="s">
        <v>464</v>
      </c>
    </row>
    <row r="225" spans="1:6" x14ac:dyDescent="0.15">
      <c r="A225" t="s">
        <v>224</v>
      </c>
      <c r="C225" t="s">
        <v>1086</v>
      </c>
      <c r="F225" t="s">
        <v>465</v>
      </c>
    </row>
    <row r="226" spans="1:6" x14ac:dyDescent="0.15">
      <c r="A226" t="s">
        <v>225</v>
      </c>
      <c r="C226" t="s">
        <v>1087</v>
      </c>
      <c r="F226" t="s">
        <v>466</v>
      </c>
    </row>
    <row r="227" spans="1:6" x14ac:dyDescent="0.15">
      <c r="A227" t="s">
        <v>226</v>
      </c>
      <c r="C227" t="s">
        <v>1088</v>
      </c>
      <c r="F227" t="s">
        <v>467</v>
      </c>
    </row>
    <row r="228" spans="1:6" x14ac:dyDescent="0.15">
      <c r="A228" t="s">
        <v>227</v>
      </c>
      <c r="C228" t="s">
        <v>1089</v>
      </c>
      <c r="F228" t="s">
        <v>468</v>
      </c>
    </row>
    <row r="229" spans="1:6" x14ac:dyDescent="0.15">
      <c r="A229" t="s">
        <v>228</v>
      </c>
      <c r="C229" t="s">
        <v>1090</v>
      </c>
      <c r="F229" t="s">
        <v>469</v>
      </c>
    </row>
    <row r="230" spans="1:6" x14ac:dyDescent="0.15">
      <c r="A230" t="s">
        <v>229</v>
      </c>
      <c r="C230" t="s">
        <v>1091</v>
      </c>
      <c r="F230" t="s">
        <v>470</v>
      </c>
    </row>
    <row r="231" spans="1:6" x14ac:dyDescent="0.15">
      <c r="A231" t="s">
        <v>230</v>
      </c>
      <c r="C231" t="s">
        <v>1092</v>
      </c>
      <c r="F231" t="s">
        <v>471</v>
      </c>
    </row>
    <row r="232" spans="1:6" x14ac:dyDescent="0.15">
      <c r="A232" t="s">
        <v>231</v>
      </c>
      <c r="C232" t="s">
        <v>1093</v>
      </c>
      <c r="F232" t="s">
        <v>472</v>
      </c>
    </row>
    <row r="233" spans="1:6" x14ac:dyDescent="0.15">
      <c r="A233" t="s">
        <v>232</v>
      </c>
      <c r="C233" t="s">
        <v>1094</v>
      </c>
      <c r="F233" t="s">
        <v>473</v>
      </c>
    </row>
    <row r="234" spans="1:6" x14ac:dyDescent="0.15">
      <c r="A234" t="s">
        <v>233</v>
      </c>
      <c r="C234" t="s">
        <v>1095</v>
      </c>
      <c r="F234" t="s">
        <v>474</v>
      </c>
    </row>
    <row r="235" spans="1:6" x14ac:dyDescent="0.15">
      <c r="A235" t="s">
        <v>234</v>
      </c>
      <c r="C235" t="s">
        <v>1096</v>
      </c>
      <c r="F235" t="s">
        <v>475</v>
      </c>
    </row>
    <row r="236" spans="1:6" x14ac:dyDescent="0.15">
      <c r="A236" t="s">
        <v>235</v>
      </c>
      <c r="C236" t="s">
        <v>1097</v>
      </c>
      <c r="F236" t="s">
        <v>476</v>
      </c>
    </row>
    <row r="237" spans="1:6" x14ac:dyDescent="0.15">
      <c r="A237" t="s">
        <v>236</v>
      </c>
      <c r="C237" t="s">
        <v>1098</v>
      </c>
      <c r="F237" t="s">
        <v>477</v>
      </c>
    </row>
    <row r="238" spans="1:6" x14ac:dyDescent="0.15">
      <c r="A238" t="s">
        <v>237</v>
      </c>
      <c r="C238" t="s">
        <v>1099</v>
      </c>
      <c r="F238" t="s">
        <v>478</v>
      </c>
    </row>
    <row r="239" spans="1:6" x14ac:dyDescent="0.15">
      <c r="A239" t="s">
        <v>238</v>
      </c>
      <c r="C239" t="s">
        <v>1100</v>
      </c>
      <c r="F239" t="s">
        <v>479</v>
      </c>
    </row>
    <row r="240" spans="1:6" x14ac:dyDescent="0.15">
      <c r="A240" t="s">
        <v>239</v>
      </c>
      <c r="C240" t="s">
        <v>1101</v>
      </c>
      <c r="F240" t="s">
        <v>480</v>
      </c>
    </row>
    <row r="241" spans="1:6" x14ac:dyDescent="0.15">
      <c r="A241" t="s">
        <v>240</v>
      </c>
      <c r="C241" t="s">
        <v>1102</v>
      </c>
      <c r="F241" t="s">
        <v>481</v>
      </c>
    </row>
    <row r="242" spans="1:6" x14ac:dyDescent="0.15">
      <c r="A242" t="s">
        <v>241</v>
      </c>
      <c r="C242" t="s">
        <v>1103</v>
      </c>
      <c r="F242" t="s">
        <v>482</v>
      </c>
    </row>
    <row r="243" spans="1:6" x14ac:dyDescent="0.15">
      <c r="A243" t="s">
        <v>242</v>
      </c>
      <c r="C243" t="s">
        <v>1104</v>
      </c>
      <c r="F243" t="s">
        <v>483</v>
      </c>
    </row>
    <row r="244" spans="1:6" x14ac:dyDescent="0.15">
      <c r="A244" t="s">
        <v>1166</v>
      </c>
      <c r="C244" t="s">
        <v>1105</v>
      </c>
      <c r="F244" t="s">
        <v>484</v>
      </c>
    </row>
    <row r="245" spans="1:6" x14ac:dyDescent="0.15">
      <c r="A245" t="s">
        <v>3634</v>
      </c>
      <c r="C245" t="s">
        <v>1106</v>
      </c>
      <c r="F245" t="s">
        <v>485</v>
      </c>
    </row>
    <row r="246" spans="1:6" x14ac:dyDescent="0.15">
      <c r="A246" t="s">
        <v>3635</v>
      </c>
      <c r="C246" t="s">
        <v>1107</v>
      </c>
      <c r="F246" t="s">
        <v>486</v>
      </c>
    </row>
    <row r="247" spans="1:6" x14ac:dyDescent="0.15">
      <c r="A247" t="s">
        <v>9</v>
      </c>
      <c r="C247" t="s">
        <v>1108</v>
      </c>
      <c r="F247" t="s">
        <v>487</v>
      </c>
    </row>
    <row r="248" spans="1:6" x14ac:dyDescent="0.15">
      <c r="A248" t="s">
        <v>3636</v>
      </c>
      <c r="C248" t="s">
        <v>1109</v>
      </c>
      <c r="F248" t="s">
        <v>488</v>
      </c>
    </row>
    <row r="249" spans="1:6" x14ac:dyDescent="0.15">
      <c r="A249" t="s">
        <v>1286</v>
      </c>
      <c r="C249" t="s">
        <v>1110</v>
      </c>
      <c r="F249" t="s">
        <v>489</v>
      </c>
    </row>
    <row r="250" spans="1:6" x14ac:dyDescent="0.15">
      <c r="A250" t="s">
        <v>3637</v>
      </c>
      <c r="C250" t="s">
        <v>1111</v>
      </c>
      <c r="F250" t="s">
        <v>490</v>
      </c>
    </row>
    <row r="251" spans="1:6" x14ac:dyDescent="0.15">
      <c r="A251" t="s">
        <v>3638</v>
      </c>
      <c r="C251" t="s">
        <v>1112</v>
      </c>
      <c r="F251" t="s">
        <v>491</v>
      </c>
    </row>
    <row r="252" spans="1:6" x14ac:dyDescent="0.15">
      <c r="A252" t="s">
        <v>2598</v>
      </c>
      <c r="C252" t="s">
        <v>1113</v>
      </c>
      <c r="F252" t="s">
        <v>492</v>
      </c>
    </row>
    <row r="253" spans="1:6" x14ac:dyDescent="0.15">
      <c r="A253" t="s">
        <v>3639</v>
      </c>
      <c r="C253" t="s">
        <v>1114</v>
      </c>
      <c r="F253" t="s">
        <v>493</v>
      </c>
    </row>
    <row r="254" spans="1:6" x14ac:dyDescent="0.15">
      <c r="A254" t="s">
        <v>3640</v>
      </c>
      <c r="C254" t="s">
        <v>1115</v>
      </c>
      <c r="F254" t="s">
        <v>494</v>
      </c>
    </row>
    <row r="255" spans="1:6" x14ac:dyDescent="0.15">
      <c r="A255" t="s">
        <v>3641</v>
      </c>
      <c r="C255" t="s">
        <v>1116</v>
      </c>
      <c r="F255" t="s">
        <v>495</v>
      </c>
    </row>
    <row r="256" spans="1:6" x14ac:dyDescent="0.15">
      <c r="A256" t="s">
        <v>1087</v>
      </c>
      <c r="C256" t="s">
        <v>1117</v>
      </c>
      <c r="F256" t="s">
        <v>496</v>
      </c>
    </row>
    <row r="257" spans="1:6" x14ac:dyDescent="0.15">
      <c r="A257" t="s">
        <v>3642</v>
      </c>
      <c r="C257" t="s">
        <v>1118</v>
      </c>
      <c r="F257" t="s">
        <v>497</v>
      </c>
    </row>
    <row r="258" spans="1:6" x14ac:dyDescent="0.15">
      <c r="A258" t="s">
        <v>3643</v>
      </c>
      <c r="C258" t="s">
        <v>2838</v>
      </c>
      <c r="F258" t="s">
        <v>498</v>
      </c>
    </row>
    <row r="259" spans="1:6" x14ac:dyDescent="0.15">
      <c r="A259" t="s">
        <v>2064</v>
      </c>
      <c r="C259" t="s">
        <v>2839</v>
      </c>
      <c r="F259" t="s">
        <v>499</v>
      </c>
    </row>
    <row r="260" spans="1:6" x14ac:dyDescent="0.15">
      <c r="A260" t="s">
        <v>2039</v>
      </c>
      <c r="C260" t="s">
        <v>2840</v>
      </c>
      <c r="F260" t="s">
        <v>500</v>
      </c>
    </row>
    <row r="261" spans="1:6" x14ac:dyDescent="0.15">
      <c r="A261" t="s">
        <v>3644</v>
      </c>
      <c r="C261" t="s">
        <v>2841</v>
      </c>
      <c r="F261" t="s">
        <v>501</v>
      </c>
    </row>
    <row r="262" spans="1:6" x14ac:dyDescent="0.15">
      <c r="A262" t="s">
        <v>3645</v>
      </c>
      <c r="C262" t="s">
        <v>2842</v>
      </c>
      <c r="F262" t="s">
        <v>502</v>
      </c>
    </row>
    <row r="263" spans="1:6" x14ac:dyDescent="0.15">
      <c r="A263" t="s">
        <v>3646</v>
      </c>
      <c r="C263" t="s">
        <v>2147</v>
      </c>
      <c r="F263" t="s">
        <v>503</v>
      </c>
    </row>
    <row r="264" spans="1:6" x14ac:dyDescent="0.15">
      <c r="A264" t="s">
        <v>2157</v>
      </c>
      <c r="C264" t="s">
        <v>2843</v>
      </c>
      <c r="F264" t="s">
        <v>504</v>
      </c>
    </row>
    <row r="265" spans="1:6" x14ac:dyDescent="0.15">
      <c r="A265" t="s">
        <v>230</v>
      </c>
      <c r="C265" t="s">
        <v>2844</v>
      </c>
      <c r="F265" t="s">
        <v>505</v>
      </c>
    </row>
    <row r="266" spans="1:6" x14ac:dyDescent="0.15">
      <c r="A266" t="s">
        <v>3647</v>
      </c>
      <c r="C266" t="s">
        <v>2845</v>
      </c>
      <c r="F266" t="s">
        <v>506</v>
      </c>
    </row>
    <row r="267" spans="1:6" x14ac:dyDescent="0.15">
      <c r="A267" t="s">
        <v>3648</v>
      </c>
      <c r="C267" t="s">
        <v>2846</v>
      </c>
      <c r="F267" t="s">
        <v>507</v>
      </c>
    </row>
    <row r="268" spans="1:6" x14ac:dyDescent="0.15">
      <c r="A268" t="s">
        <v>182</v>
      </c>
      <c r="C268" t="s">
        <v>2847</v>
      </c>
      <c r="F268" t="s">
        <v>508</v>
      </c>
    </row>
    <row r="269" spans="1:6" x14ac:dyDescent="0.15">
      <c r="A269" t="s">
        <v>3649</v>
      </c>
      <c r="C269" t="s">
        <v>2848</v>
      </c>
      <c r="F269" t="s">
        <v>509</v>
      </c>
    </row>
    <row r="270" spans="1:6" x14ac:dyDescent="0.15">
      <c r="A270" t="s">
        <v>55</v>
      </c>
      <c r="C270" t="s">
        <v>2849</v>
      </c>
      <c r="F270" t="s">
        <v>510</v>
      </c>
    </row>
    <row r="271" spans="1:6" x14ac:dyDescent="0.15">
      <c r="A271" t="s">
        <v>3650</v>
      </c>
      <c r="C271" t="s">
        <v>2850</v>
      </c>
      <c r="F271" t="s">
        <v>511</v>
      </c>
    </row>
    <row r="272" spans="1:6" x14ac:dyDescent="0.15">
      <c r="A272" t="s">
        <v>145</v>
      </c>
      <c r="C272" t="s">
        <v>916</v>
      </c>
      <c r="F272" t="s">
        <v>512</v>
      </c>
    </row>
    <row r="273" spans="1:6" x14ac:dyDescent="0.15">
      <c r="A273" t="s">
        <v>3651</v>
      </c>
      <c r="C273" t="s">
        <v>2851</v>
      </c>
      <c r="F273" t="s">
        <v>513</v>
      </c>
    </row>
    <row r="274" spans="1:6" x14ac:dyDescent="0.15">
      <c r="A274" t="s">
        <v>3652</v>
      </c>
      <c r="C274" t="s">
        <v>2852</v>
      </c>
      <c r="F274" t="s">
        <v>514</v>
      </c>
    </row>
    <row r="275" spans="1:6" x14ac:dyDescent="0.15">
      <c r="A275" t="s">
        <v>3653</v>
      </c>
      <c r="C275" t="s">
        <v>2853</v>
      </c>
      <c r="F275" t="s">
        <v>515</v>
      </c>
    </row>
    <row r="276" spans="1:6" x14ac:dyDescent="0.15">
      <c r="A276" t="s">
        <v>3654</v>
      </c>
      <c r="C276" t="s">
        <v>2854</v>
      </c>
      <c r="F276" t="s">
        <v>516</v>
      </c>
    </row>
    <row r="277" spans="1:6" x14ac:dyDescent="0.15">
      <c r="A277" t="s">
        <v>3655</v>
      </c>
      <c r="C277" t="s">
        <v>2855</v>
      </c>
      <c r="F277" t="s">
        <v>517</v>
      </c>
    </row>
    <row r="278" spans="1:6" x14ac:dyDescent="0.15">
      <c r="A278" t="s">
        <v>259</v>
      </c>
      <c r="C278" t="s">
        <v>2856</v>
      </c>
      <c r="F278" t="s">
        <v>518</v>
      </c>
    </row>
    <row r="279" spans="1:6" x14ac:dyDescent="0.15">
      <c r="A279" t="s">
        <v>3656</v>
      </c>
      <c r="C279" t="s">
        <v>2857</v>
      </c>
      <c r="F279" t="s">
        <v>519</v>
      </c>
    </row>
    <row r="280" spans="1:6" x14ac:dyDescent="0.15">
      <c r="A280" t="s">
        <v>284</v>
      </c>
      <c r="C280" t="s">
        <v>2858</v>
      </c>
      <c r="F280" t="s">
        <v>520</v>
      </c>
    </row>
    <row r="281" spans="1:6" x14ac:dyDescent="0.15">
      <c r="A281" t="s">
        <v>2447</v>
      </c>
      <c r="C281" t="s">
        <v>2859</v>
      </c>
      <c r="F281" t="s">
        <v>521</v>
      </c>
    </row>
    <row r="282" spans="1:6" x14ac:dyDescent="0.15">
      <c r="A282" t="s">
        <v>167</v>
      </c>
      <c r="C282" t="s">
        <v>2860</v>
      </c>
      <c r="F282" t="s">
        <v>522</v>
      </c>
    </row>
    <row r="283" spans="1:6" x14ac:dyDescent="0.15">
      <c r="A283" t="s">
        <v>3657</v>
      </c>
      <c r="C283" t="s">
        <v>2861</v>
      </c>
      <c r="F283" t="s">
        <v>523</v>
      </c>
    </row>
    <row r="284" spans="1:6" x14ac:dyDescent="0.15">
      <c r="A284" t="s">
        <v>303</v>
      </c>
      <c r="C284" t="s">
        <v>2862</v>
      </c>
      <c r="F284" t="s">
        <v>524</v>
      </c>
    </row>
    <row r="285" spans="1:6" x14ac:dyDescent="0.15">
      <c r="A285" t="s">
        <v>3658</v>
      </c>
      <c r="C285" t="s">
        <v>2863</v>
      </c>
      <c r="F285" t="s">
        <v>525</v>
      </c>
    </row>
    <row r="286" spans="1:6" x14ac:dyDescent="0.15">
      <c r="A286" t="s">
        <v>875</v>
      </c>
      <c r="C286" t="s">
        <v>2864</v>
      </c>
      <c r="F286" t="s">
        <v>526</v>
      </c>
    </row>
    <row r="287" spans="1:6" x14ac:dyDescent="0.15">
      <c r="A287" t="s">
        <v>530</v>
      </c>
      <c r="C287" t="s">
        <v>2865</v>
      </c>
      <c r="F287" t="s">
        <v>527</v>
      </c>
    </row>
    <row r="288" spans="1:6" x14ac:dyDescent="0.15">
      <c r="A288" t="s">
        <v>3659</v>
      </c>
      <c r="C288" t="s">
        <v>2866</v>
      </c>
      <c r="F288" t="s">
        <v>528</v>
      </c>
    </row>
    <row r="289" spans="1:6" x14ac:dyDescent="0.15">
      <c r="A289" t="s">
        <v>3660</v>
      </c>
      <c r="C289" t="s">
        <v>2867</v>
      </c>
      <c r="F289" t="s">
        <v>529</v>
      </c>
    </row>
    <row r="290" spans="1:6" x14ac:dyDescent="0.15">
      <c r="A290" t="s">
        <v>225</v>
      </c>
      <c r="C290" t="s">
        <v>2868</v>
      </c>
      <c r="F290" t="s">
        <v>530</v>
      </c>
    </row>
    <row r="291" spans="1:6" x14ac:dyDescent="0.15">
      <c r="A291" t="s">
        <v>105</v>
      </c>
      <c r="C291" t="s">
        <v>2869</v>
      </c>
      <c r="F291" t="s">
        <v>531</v>
      </c>
    </row>
    <row r="292" spans="1:6" x14ac:dyDescent="0.15">
      <c r="A292" t="s">
        <v>1969</v>
      </c>
      <c r="C292" t="s">
        <v>2870</v>
      </c>
      <c r="F292" t="s">
        <v>532</v>
      </c>
    </row>
    <row r="293" spans="1:6" x14ac:dyDescent="0.15">
      <c r="A293" t="s">
        <v>1251</v>
      </c>
      <c r="C293" t="s">
        <v>2871</v>
      </c>
      <c r="F293" t="s">
        <v>533</v>
      </c>
    </row>
    <row r="294" spans="1:6" x14ac:dyDescent="0.15">
      <c r="A294" t="s">
        <v>1334</v>
      </c>
      <c r="C294" t="s">
        <v>2872</v>
      </c>
      <c r="F294" t="s">
        <v>534</v>
      </c>
    </row>
    <row r="295" spans="1:6" x14ac:dyDescent="0.15">
      <c r="A295" t="s">
        <v>3661</v>
      </c>
      <c r="C295" t="s">
        <v>2873</v>
      </c>
      <c r="F295" t="s">
        <v>49</v>
      </c>
    </row>
    <row r="296" spans="1:6" x14ac:dyDescent="0.15">
      <c r="A296" t="s">
        <v>3662</v>
      </c>
      <c r="C296" t="s">
        <v>2874</v>
      </c>
      <c r="F296" t="s">
        <v>535</v>
      </c>
    </row>
    <row r="297" spans="1:6" x14ac:dyDescent="0.15">
      <c r="A297" t="s">
        <v>1122</v>
      </c>
      <c r="C297" t="s">
        <v>2875</v>
      </c>
      <c r="F297" t="s">
        <v>12</v>
      </c>
    </row>
    <row r="298" spans="1:6" x14ac:dyDescent="0.15">
      <c r="A298" t="s">
        <v>3663</v>
      </c>
      <c r="C298" t="s">
        <v>2876</v>
      </c>
      <c r="F298" t="s">
        <v>536</v>
      </c>
    </row>
    <row r="299" spans="1:6" x14ac:dyDescent="0.15">
      <c r="A299" t="s">
        <v>3664</v>
      </c>
      <c r="C299" t="s">
        <v>2877</v>
      </c>
      <c r="F299" t="s">
        <v>537</v>
      </c>
    </row>
    <row r="300" spans="1:6" x14ac:dyDescent="0.15">
      <c r="A300" t="s">
        <v>936</v>
      </c>
      <c r="C300" t="s">
        <v>2878</v>
      </c>
      <c r="F300" t="s">
        <v>538</v>
      </c>
    </row>
    <row r="301" spans="1:6" x14ac:dyDescent="0.15">
      <c r="A301" t="s">
        <v>3665</v>
      </c>
      <c r="C301" t="s">
        <v>2879</v>
      </c>
      <c r="F301" t="s">
        <v>539</v>
      </c>
    </row>
    <row r="302" spans="1:6" x14ac:dyDescent="0.15">
      <c r="A302" t="s">
        <v>21</v>
      </c>
      <c r="C302" t="s">
        <v>2880</v>
      </c>
      <c r="F302" t="s">
        <v>540</v>
      </c>
    </row>
    <row r="303" spans="1:6" x14ac:dyDescent="0.15">
      <c r="A303" t="s">
        <v>3666</v>
      </c>
      <c r="C303" t="s">
        <v>2881</v>
      </c>
      <c r="F303" t="s">
        <v>541</v>
      </c>
    </row>
    <row r="304" spans="1:6" x14ac:dyDescent="0.15">
      <c r="A304" t="s">
        <v>3667</v>
      </c>
      <c r="C304" t="s">
        <v>2882</v>
      </c>
      <c r="F304" t="s">
        <v>542</v>
      </c>
    </row>
    <row r="305" spans="1:6" x14ac:dyDescent="0.15">
      <c r="A305" t="s">
        <v>3668</v>
      </c>
      <c r="C305" t="s">
        <v>2883</v>
      </c>
      <c r="F305" t="s">
        <v>543</v>
      </c>
    </row>
    <row r="306" spans="1:6" x14ac:dyDescent="0.15">
      <c r="A306" t="s">
        <v>3669</v>
      </c>
      <c r="C306" t="s">
        <v>2884</v>
      </c>
      <c r="F306" t="s">
        <v>544</v>
      </c>
    </row>
    <row r="307" spans="1:6" x14ac:dyDescent="0.15">
      <c r="A307" t="s">
        <v>2207</v>
      </c>
      <c r="C307" t="s">
        <v>2885</v>
      </c>
      <c r="F307" t="s">
        <v>545</v>
      </c>
    </row>
    <row r="308" spans="1:6" x14ac:dyDescent="0.15">
      <c r="A308" t="s">
        <v>3670</v>
      </c>
      <c r="C308" t="s">
        <v>2886</v>
      </c>
      <c r="F308" t="s">
        <v>546</v>
      </c>
    </row>
    <row r="309" spans="1:6" x14ac:dyDescent="0.15">
      <c r="A309" t="s">
        <v>834</v>
      </c>
      <c r="C309" t="s">
        <v>2887</v>
      </c>
      <c r="F309" t="s">
        <v>547</v>
      </c>
    </row>
    <row r="310" spans="1:6" x14ac:dyDescent="0.15">
      <c r="A310" t="s">
        <v>2050</v>
      </c>
      <c r="C310" t="s">
        <v>2888</v>
      </c>
      <c r="F310" t="s">
        <v>548</v>
      </c>
    </row>
    <row r="311" spans="1:6" x14ac:dyDescent="0.15">
      <c r="A311" t="s">
        <v>3671</v>
      </c>
      <c r="C311" t="s">
        <v>1056</v>
      </c>
      <c r="F311" t="s">
        <v>549</v>
      </c>
    </row>
    <row r="312" spans="1:6" x14ac:dyDescent="0.15">
      <c r="A312" t="s">
        <v>3672</v>
      </c>
      <c r="C312" t="s">
        <v>2889</v>
      </c>
      <c r="F312" t="s">
        <v>550</v>
      </c>
    </row>
    <row r="313" spans="1:6" x14ac:dyDescent="0.15">
      <c r="A313" t="s">
        <v>241</v>
      </c>
      <c r="C313" t="s">
        <v>2890</v>
      </c>
      <c r="F313" t="s">
        <v>551</v>
      </c>
    </row>
    <row r="314" spans="1:6" x14ac:dyDescent="0.15">
      <c r="A314" t="s">
        <v>580</v>
      </c>
      <c r="C314" t="s">
        <v>2891</v>
      </c>
      <c r="F314" t="s">
        <v>552</v>
      </c>
    </row>
    <row r="315" spans="1:6" x14ac:dyDescent="0.15">
      <c r="A315" t="s">
        <v>2287</v>
      </c>
      <c r="C315" t="s">
        <v>2892</v>
      </c>
      <c r="F315" t="s">
        <v>553</v>
      </c>
    </row>
    <row r="316" spans="1:6" x14ac:dyDescent="0.15">
      <c r="A316" t="s">
        <v>3673</v>
      </c>
      <c r="C316" t="s">
        <v>2893</v>
      </c>
      <c r="F316" t="s">
        <v>554</v>
      </c>
    </row>
    <row r="317" spans="1:6" x14ac:dyDescent="0.15">
      <c r="A317" t="s">
        <v>2032</v>
      </c>
      <c r="C317" t="s">
        <v>2894</v>
      </c>
      <c r="F317" t="s">
        <v>555</v>
      </c>
    </row>
    <row r="318" spans="1:6" x14ac:dyDescent="0.15">
      <c r="A318" t="s">
        <v>3674</v>
      </c>
      <c r="C318" t="s">
        <v>2895</v>
      </c>
      <c r="F318" t="s">
        <v>556</v>
      </c>
    </row>
    <row r="319" spans="1:6" x14ac:dyDescent="0.15">
      <c r="A319" t="s">
        <v>1729</v>
      </c>
      <c r="C319" t="s">
        <v>2896</v>
      </c>
      <c r="F319" t="s">
        <v>557</v>
      </c>
    </row>
    <row r="320" spans="1:6" x14ac:dyDescent="0.15">
      <c r="A320" t="s">
        <v>3675</v>
      </c>
      <c r="C320" t="s">
        <v>2897</v>
      </c>
      <c r="F320" t="s">
        <v>558</v>
      </c>
    </row>
    <row r="321" spans="1:6" x14ac:dyDescent="0.15">
      <c r="A321" t="s">
        <v>3676</v>
      </c>
      <c r="C321" t="s">
        <v>2898</v>
      </c>
      <c r="F321" t="s">
        <v>559</v>
      </c>
    </row>
    <row r="322" spans="1:6" x14ac:dyDescent="0.15">
      <c r="A322" t="s">
        <v>431</v>
      </c>
      <c r="C322" t="s">
        <v>2899</v>
      </c>
      <c r="F322" t="s">
        <v>560</v>
      </c>
    </row>
    <row r="323" spans="1:6" x14ac:dyDescent="0.15">
      <c r="A323" t="s">
        <v>3677</v>
      </c>
      <c r="C323" t="s">
        <v>2900</v>
      </c>
      <c r="F323" t="s">
        <v>561</v>
      </c>
    </row>
    <row r="324" spans="1:6" x14ac:dyDescent="0.15">
      <c r="A324" t="s">
        <v>1021</v>
      </c>
      <c r="C324" t="s">
        <v>2901</v>
      </c>
      <c r="F324" t="s">
        <v>562</v>
      </c>
    </row>
    <row r="325" spans="1:6" x14ac:dyDescent="0.15">
      <c r="A325" t="s">
        <v>3678</v>
      </c>
      <c r="C325" t="s">
        <v>2902</v>
      </c>
      <c r="F325" t="s">
        <v>563</v>
      </c>
    </row>
    <row r="326" spans="1:6" x14ac:dyDescent="0.15">
      <c r="A326" t="s">
        <v>3679</v>
      </c>
      <c r="C326" t="s">
        <v>2903</v>
      </c>
      <c r="F326" t="s">
        <v>564</v>
      </c>
    </row>
    <row r="327" spans="1:6" x14ac:dyDescent="0.15">
      <c r="A327" t="s">
        <v>1137</v>
      </c>
      <c r="C327" t="s">
        <v>2904</v>
      </c>
      <c r="F327" t="s">
        <v>565</v>
      </c>
    </row>
    <row r="328" spans="1:6" x14ac:dyDescent="0.15">
      <c r="A328" t="s">
        <v>3680</v>
      </c>
      <c r="C328" t="s">
        <v>2905</v>
      </c>
      <c r="F328" t="s">
        <v>566</v>
      </c>
    </row>
    <row r="329" spans="1:6" x14ac:dyDescent="0.15">
      <c r="A329" t="s">
        <v>170</v>
      </c>
      <c r="C329" t="s">
        <v>2906</v>
      </c>
      <c r="F329" t="s">
        <v>567</v>
      </c>
    </row>
    <row r="330" spans="1:6" x14ac:dyDescent="0.15">
      <c r="A330" t="s">
        <v>2117</v>
      </c>
      <c r="C330" t="s">
        <v>2907</v>
      </c>
      <c r="F330" t="s">
        <v>568</v>
      </c>
    </row>
    <row r="331" spans="1:6" x14ac:dyDescent="0.15">
      <c r="A331" t="s">
        <v>2570</v>
      </c>
      <c r="C331" t="s">
        <v>2908</v>
      </c>
      <c r="F331" t="s">
        <v>569</v>
      </c>
    </row>
    <row r="332" spans="1:6" x14ac:dyDescent="0.15">
      <c r="A332" t="s">
        <v>3681</v>
      </c>
      <c r="C332" t="s">
        <v>2909</v>
      </c>
      <c r="F332" t="s">
        <v>570</v>
      </c>
    </row>
    <row r="333" spans="1:6" x14ac:dyDescent="0.15">
      <c r="A333" t="s">
        <v>3682</v>
      </c>
      <c r="C333" t="s">
        <v>2910</v>
      </c>
      <c r="F333" t="s">
        <v>571</v>
      </c>
    </row>
    <row r="334" spans="1:6" x14ac:dyDescent="0.15">
      <c r="A334" t="s">
        <v>143</v>
      </c>
      <c r="C334" t="s">
        <v>2911</v>
      </c>
      <c r="F334" t="s">
        <v>572</v>
      </c>
    </row>
    <row r="335" spans="1:6" x14ac:dyDescent="0.15">
      <c r="A335" t="s">
        <v>3683</v>
      </c>
      <c r="C335" t="s">
        <v>2912</v>
      </c>
      <c r="F335" t="s">
        <v>573</v>
      </c>
    </row>
    <row r="336" spans="1:6" x14ac:dyDescent="0.15">
      <c r="A336" t="s">
        <v>3684</v>
      </c>
      <c r="C336" t="s">
        <v>2913</v>
      </c>
      <c r="F336" t="s">
        <v>574</v>
      </c>
    </row>
    <row r="337" spans="1:6" x14ac:dyDescent="0.15">
      <c r="A337" t="s">
        <v>3685</v>
      </c>
      <c r="C337" t="s">
        <v>2914</v>
      </c>
      <c r="F337" t="s">
        <v>575</v>
      </c>
    </row>
    <row r="338" spans="1:6" x14ac:dyDescent="0.15">
      <c r="A338" t="s">
        <v>3686</v>
      </c>
      <c r="C338" t="s">
        <v>2915</v>
      </c>
      <c r="F338" t="s">
        <v>576</v>
      </c>
    </row>
    <row r="339" spans="1:6" x14ac:dyDescent="0.15">
      <c r="A339" t="s">
        <v>3687</v>
      </c>
      <c r="C339" t="s">
        <v>893</v>
      </c>
      <c r="F339" t="s">
        <v>577</v>
      </c>
    </row>
    <row r="340" spans="1:6" x14ac:dyDescent="0.15">
      <c r="A340" t="s">
        <v>3688</v>
      </c>
      <c r="C340" t="s">
        <v>2916</v>
      </c>
      <c r="F340" t="s">
        <v>578</v>
      </c>
    </row>
    <row r="341" spans="1:6" x14ac:dyDescent="0.15">
      <c r="A341" t="s">
        <v>3689</v>
      </c>
      <c r="C341" t="s">
        <v>2917</v>
      </c>
      <c r="F341" t="s">
        <v>579</v>
      </c>
    </row>
    <row r="342" spans="1:6" x14ac:dyDescent="0.15">
      <c r="A342" t="s">
        <v>3690</v>
      </c>
      <c r="C342" t="s">
        <v>2918</v>
      </c>
      <c r="F342" t="s">
        <v>580</v>
      </c>
    </row>
    <row r="343" spans="1:6" x14ac:dyDescent="0.15">
      <c r="A343" t="s">
        <v>73</v>
      </c>
      <c r="C343" t="s">
        <v>986</v>
      </c>
      <c r="F343" t="s">
        <v>581</v>
      </c>
    </row>
    <row r="344" spans="1:6" x14ac:dyDescent="0.15">
      <c r="A344" t="s">
        <v>3691</v>
      </c>
      <c r="C344" t="s">
        <v>2919</v>
      </c>
      <c r="F344" t="s">
        <v>582</v>
      </c>
    </row>
    <row r="345" spans="1:6" x14ac:dyDescent="0.15">
      <c r="A345" t="s">
        <v>2178</v>
      </c>
      <c r="C345" t="s">
        <v>2920</v>
      </c>
      <c r="F345" t="s">
        <v>583</v>
      </c>
    </row>
    <row r="346" spans="1:6" x14ac:dyDescent="0.15">
      <c r="A346" t="s">
        <v>1550</v>
      </c>
      <c r="C346" t="s">
        <v>2921</v>
      </c>
      <c r="F346" t="s">
        <v>584</v>
      </c>
    </row>
    <row r="347" spans="1:6" x14ac:dyDescent="0.15">
      <c r="A347" t="s">
        <v>153</v>
      </c>
      <c r="C347" t="s">
        <v>2922</v>
      </c>
      <c r="F347" t="s">
        <v>585</v>
      </c>
    </row>
    <row r="348" spans="1:6" x14ac:dyDescent="0.15">
      <c r="A348" t="s">
        <v>3692</v>
      </c>
      <c r="C348" t="s">
        <v>2923</v>
      </c>
      <c r="F348" t="s">
        <v>586</v>
      </c>
    </row>
    <row r="349" spans="1:6" x14ac:dyDescent="0.15">
      <c r="A349" t="s">
        <v>3693</v>
      </c>
      <c r="C349" t="s">
        <v>2924</v>
      </c>
      <c r="F349" t="s">
        <v>19</v>
      </c>
    </row>
    <row r="350" spans="1:6" x14ac:dyDescent="0.15">
      <c r="A350" t="s">
        <v>3694</v>
      </c>
      <c r="C350" t="s">
        <v>2925</v>
      </c>
      <c r="F350" t="s">
        <v>587</v>
      </c>
    </row>
    <row r="351" spans="1:6" x14ac:dyDescent="0.15">
      <c r="A351" t="s">
        <v>11</v>
      </c>
      <c r="C351" t="s">
        <v>2926</v>
      </c>
      <c r="F351" t="s">
        <v>588</v>
      </c>
    </row>
    <row r="352" spans="1:6" x14ac:dyDescent="0.15">
      <c r="A352" t="s">
        <v>3695</v>
      </c>
      <c r="C352" t="s">
        <v>2927</v>
      </c>
      <c r="F352" t="s">
        <v>589</v>
      </c>
    </row>
    <row r="353" spans="1:6" x14ac:dyDescent="0.15">
      <c r="A353" t="s">
        <v>944</v>
      </c>
      <c r="C353" t="s">
        <v>2928</v>
      </c>
      <c r="F353" t="s">
        <v>590</v>
      </c>
    </row>
    <row r="354" spans="1:6" x14ac:dyDescent="0.15">
      <c r="A354" t="s">
        <v>3696</v>
      </c>
      <c r="C354" t="s">
        <v>2929</v>
      </c>
      <c r="F354" t="s">
        <v>591</v>
      </c>
    </row>
    <row r="355" spans="1:6" x14ac:dyDescent="0.15">
      <c r="A355" t="s">
        <v>3697</v>
      </c>
      <c r="C355" t="s">
        <v>2930</v>
      </c>
      <c r="F355" t="s">
        <v>592</v>
      </c>
    </row>
    <row r="356" spans="1:6" x14ac:dyDescent="0.15">
      <c r="A356" t="s">
        <v>3698</v>
      </c>
      <c r="C356" t="s">
        <v>2931</v>
      </c>
      <c r="F356" t="s">
        <v>593</v>
      </c>
    </row>
    <row r="357" spans="1:6" x14ac:dyDescent="0.15">
      <c r="A357" t="s">
        <v>3699</v>
      </c>
      <c r="C357" t="s">
        <v>2932</v>
      </c>
      <c r="F357" t="s">
        <v>594</v>
      </c>
    </row>
    <row r="358" spans="1:6" x14ac:dyDescent="0.15">
      <c r="A358" t="s">
        <v>3700</v>
      </c>
      <c r="C358" t="s">
        <v>2933</v>
      </c>
      <c r="F358" t="s">
        <v>595</v>
      </c>
    </row>
    <row r="359" spans="1:6" x14ac:dyDescent="0.15">
      <c r="A359" t="s">
        <v>3701</v>
      </c>
      <c r="C359" t="s">
        <v>2934</v>
      </c>
      <c r="F359" t="s">
        <v>596</v>
      </c>
    </row>
    <row r="360" spans="1:6" x14ac:dyDescent="0.15">
      <c r="A360" t="s">
        <v>1609</v>
      </c>
      <c r="C360" t="s">
        <v>2935</v>
      </c>
      <c r="F360" t="s">
        <v>597</v>
      </c>
    </row>
    <row r="361" spans="1:6" x14ac:dyDescent="0.15">
      <c r="A361" t="s">
        <v>3702</v>
      </c>
      <c r="C361" t="s">
        <v>2936</v>
      </c>
      <c r="F361" t="s">
        <v>598</v>
      </c>
    </row>
    <row r="362" spans="1:6" x14ac:dyDescent="0.15">
      <c r="A362" t="s">
        <v>3703</v>
      </c>
      <c r="C362" t="s">
        <v>2937</v>
      </c>
      <c r="F362" t="s">
        <v>599</v>
      </c>
    </row>
    <row r="363" spans="1:6" x14ac:dyDescent="0.15">
      <c r="A363" t="s">
        <v>3704</v>
      </c>
      <c r="C363" t="s">
        <v>2938</v>
      </c>
      <c r="F363" t="s">
        <v>600</v>
      </c>
    </row>
    <row r="364" spans="1:6" x14ac:dyDescent="0.15">
      <c r="A364" t="s">
        <v>57</v>
      </c>
      <c r="C364" t="s">
        <v>1086</v>
      </c>
      <c r="F364" t="s">
        <v>601</v>
      </c>
    </row>
    <row r="365" spans="1:6" x14ac:dyDescent="0.15">
      <c r="A365" t="s">
        <v>2218</v>
      </c>
      <c r="C365" t="s">
        <v>2939</v>
      </c>
      <c r="F365" t="s">
        <v>602</v>
      </c>
    </row>
    <row r="366" spans="1:6" x14ac:dyDescent="0.15">
      <c r="A366" t="s">
        <v>3705</v>
      </c>
      <c r="C366" t="s">
        <v>2940</v>
      </c>
      <c r="F366" t="s">
        <v>603</v>
      </c>
    </row>
    <row r="367" spans="1:6" x14ac:dyDescent="0.15">
      <c r="A367" t="s">
        <v>3706</v>
      </c>
      <c r="C367" t="s">
        <v>2941</v>
      </c>
      <c r="F367" t="s">
        <v>604</v>
      </c>
    </row>
    <row r="368" spans="1:6" x14ac:dyDescent="0.15">
      <c r="A368" t="s">
        <v>1414</v>
      </c>
      <c r="C368" t="s">
        <v>2942</v>
      </c>
      <c r="F368" t="s">
        <v>605</v>
      </c>
    </row>
    <row r="369" spans="1:6" x14ac:dyDescent="0.15">
      <c r="A369" t="s">
        <v>1420</v>
      </c>
      <c r="C369" t="s">
        <v>2943</v>
      </c>
      <c r="F369" t="s">
        <v>606</v>
      </c>
    </row>
    <row r="370" spans="1:6" x14ac:dyDescent="0.15">
      <c r="A370" t="s">
        <v>1454</v>
      </c>
      <c r="C370" t="s">
        <v>2944</v>
      </c>
      <c r="F370" t="s">
        <v>607</v>
      </c>
    </row>
    <row r="371" spans="1:6" x14ac:dyDescent="0.15">
      <c r="A371" t="s">
        <v>3707</v>
      </c>
      <c r="C371" t="s">
        <v>2945</v>
      </c>
      <c r="F371" t="s">
        <v>608</v>
      </c>
    </row>
    <row r="372" spans="1:6" x14ac:dyDescent="0.15">
      <c r="A372" t="s">
        <v>280</v>
      </c>
      <c r="C372" t="s">
        <v>2946</v>
      </c>
      <c r="F372" t="s">
        <v>609</v>
      </c>
    </row>
    <row r="373" spans="1:6" x14ac:dyDescent="0.15">
      <c r="A373" t="s">
        <v>3708</v>
      </c>
      <c r="C373" t="s">
        <v>2947</v>
      </c>
      <c r="F373" t="s">
        <v>610</v>
      </c>
    </row>
    <row r="374" spans="1:6" x14ac:dyDescent="0.15">
      <c r="A374" t="s">
        <v>3709</v>
      </c>
      <c r="C374" t="s">
        <v>2948</v>
      </c>
      <c r="F374" t="s">
        <v>611</v>
      </c>
    </row>
    <row r="375" spans="1:6" x14ac:dyDescent="0.15">
      <c r="A375" t="s">
        <v>3710</v>
      </c>
      <c r="C375" t="s">
        <v>2949</v>
      </c>
      <c r="F375" t="s">
        <v>612</v>
      </c>
    </row>
    <row r="376" spans="1:6" x14ac:dyDescent="0.15">
      <c r="A376" t="s">
        <v>1735</v>
      </c>
      <c r="C376" t="s">
        <v>2950</v>
      </c>
      <c r="F376" t="s">
        <v>613</v>
      </c>
    </row>
    <row r="377" spans="1:6" x14ac:dyDescent="0.15">
      <c r="A377" t="s">
        <v>2729</v>
      </c>
      <c r="C377" t="s">
        <v>2951</v>
      </c>
      <c r="F377" t="s">
        <v>614</v>
      </c>
    </row>
    <row r="378" spans="1:6" x14ac:dyDescent="0.15">
      <c r="A378" t="s">
        <v>3711</v>
      </c>
      <c r="C378" t="s">
        <v>2952</v>
      </c>
      <c r="F378" t="s">
        <v>615</v>
      </c>
    </row>
    <row r="379" spans="1:6" x14ac:dyDescent="0.15">
      <c r="A379" t="s">
        <v>2567</v>
      </c>
      <c r="C379" t="s">
        <v>2953</v>
      </c>
      <c r="F379" t="s">
        <v>616</v>
      </c>
    </row>
    <row r="380" spans="1:6" x14ac:dyDescent="0.15">
      <c r="A380" t="s">
        <v>3712</v>
      </c>
      <c r="C380" t="s">
        <v>2954</v>
      </c>
      <c r="F380" t="s">
        <v>150</v>
      </c>
    </row>
    <row r="381" spans="1:6" x14ac:dyDescent="0.15">
      <c r="A381" t="s">
        <v>1365</v>
      </c>
      <c r="C381" t="s">
        <v>2955</v>
      </c>
      <c r="F381" t="s">
        <v>617</v>
      </c>
    </row>
    <row r="382" spans="1:6" x14ac:dyDescent="0.15">
      <c r="A382" t="s">
        <v>3713</v>
      </c>
      <c r="C382" t="s">
        <v>2956</v>
      </c>
      <c r="F382" t="s">
        <v>618</v>
      </c>
    </row>
    <row r="383" spans="1:6" x14ac:dyDescent="0.15">
      <c r="A383" t="s">
        <v>3714</v>
      </c>
      <c r="C383" t="s">
        <v>2957</v>
      </c>
      <c r="F383" t="s">
        <v>619</v>
      </c>
    </row>
    <row r="384" spans="1:6" x14ac:dyDescent="0.15">
      <c r="A384" t="s">
        <v>3715</v>
      </c>
      <c r="C384" t="s">
        <v>2958</v>
      </c>
      <c r="F384" t="s">
        <v>620</v>
      </c>
    </row>
    <row r="385" spans="1:6" x14ac:dyDescent="0.15">
      <c r="A385" t="s">
        <v>3716</v>
      </c>
      <c r="C385" t="s">
        <v>2959</v>
      </c>
      <c r="F385" t="s">
        <v>621</v>
      </c>
    </row>
    <row r="386" spans="1:6" x14ac:dyDescent="0.15">
      <c r="A386" t="s">
        <v>3717</v>
      </c>
      <c r="C386" t="s">
        <v>2960</v>
      </c>
      <c r="F386" t="s">
        <v>622</v>
      </c>
    </row>
    <row r="387" spans="1:6" x14ac:dyDescent="0.15">
      <c r="A387" t="s">
        <v>3718</v>
      </c>
      <c r="C387" t="s">
        <v>2961</v>
      </c>
      <c r="F387" t="s">
        <v>623</v>
      </c>
    </row>
    <row r="388" spans="1:6" x14ac:dyDescent="0.15">
      <c r="A388" t="s">
        <v>3719</v>
      </c>
      <c r="C388" t="s">
        <v>2962</v>
      </c>
      <c r="F388" t="s">
        <v>624</v>
      </c>
    </row>
    <row r="389" spans="1:6" x14ac:dyDescent="0.15">
      <c r="A389" t="s">
        <v>3720</v>
      </c>
      <c r="C389" t="s">
        <v>2963</v>
      </c>
      <c r="F389" t="s">
        <v>625</v>
      </c>
    </row>
    <row r="390" spans="1:6" x14ac:dyDescent="0.15">
      <c r="A390" t="s">
        <v>3721</v>
      </c>
      <c r="C390" t="s">
        <v>2964</v>
      </c>
      <c r="F390" t="s">
        <v>626</v>
      </c>
    </row>
    <row r="391" spans="1:6" x14ac:dyDescent="0.15">
      <c r="A391" t="s">
        <v>3722</v>
      </c>
      <c r="C391" t="s">
        <v>2965</v>
      </c>
      <c r="F391" t="s">
        <v>627</v>
      </c>
    </row>
    <row r="392" spans="1:6" x14ac:dyDescent="0.15">
      <c r="A392" t="s">
        <v>3723</v>
      </c>
      <c r="C392" t="s">
        <v>2966</v>
      </c>
      <c r="F392" t="s">
        <v>628</v>
      </c>
    </row>
    <row r="393" spans="1:6" x14ac:dyDescent="0.15">
      <c r="A393" t="s">
        <v>2027</v>
      </c>
      <c r="C393" t="s">
        <v>1846</v>
      </c>
      <c r="F393" t="s">
        <v>629</v>
      </c>
    </row>
    <row r="394" spans="1:6" x14ac:dyDescent="0.15">
      <c r="A394" t="s">
        <v>3724</v>
      </c>
      <c r="C394" t="s">
        <v>2967</v>
      </c>
      <c r="F394" t="s">
        <v>630</v>
      </c>
    </row>
    <row r="395" spans="1:6" x14ac:dyDescent="0.15">
      <c r="A395" t="s">
        <v>3725</v>
      </c>
      <c r="C395" t="s">
        <v>883</v>
      </c>
      <c r="F395" t="s">
        <v>631</v>
      </c>
    </row>
    <row r="396" spans="1:6" x14ac:dyDescent="0.15">
      <c r="A396" t="s">
        <v>649</v>
      </c>
      <c r="C396" t="s">
        <v>2968</v>
      </c>
      <c r="F396" t="s">
        <v>632</v>
      </c>
    </row>
    <row r="397" spans="1:6" x14ac:dyDescent="0.15">
      <c r="A397" t="s">
        <v>3726</v>
      </c>
      <c r="C397" t="s">
        <v>2969</v>
      </c>
      <c r="F397" t="s">
        <v>633</v>
      </c>
    </row>
    <row r="398" spans="1:6" x14ac:dyDescent="0.15">
      <c r="A398" t="s">
        <v>3727</v>
      </c>
      <c r="C398" t="s">
        <v>2970</v>
      </c>
      <c r="F398" t="s">
        <v>634</v>
      </c>
    </row>
    <row r="399" spans="1:6" x14ac:dyDescent="0.15">
      <c r="A399" t="s">
        <v>3728</v>
      </c>
      <c r="C399" t="s">
        <v>2971</v>
      </c>
      <c r="F399" t="s">
        <v>635</v>
      </c>
    </row>
    <row r="400" spans="1:6" x14ac:dyDescent="0.15">
      <c r="A400" t="s">
        <v>177</v>
      </c>
      <c r="C400" t="s">
        <v>2972</v>
      </c>
      <c r="F400" t="s">
        <v>636</v>
      </c>
    </row>
    <row r="401" spans="1:6" x14ac:dyDescent="0.15">
      <c r="A401" t="s">
        <v>1423</v>
      </c>
      <c r="C401" t="s">
        <v>2973</v>
      </c>
      <c r="F401" t="s">
        <v>637</v>
      </c>
    </row>
    <row r="402" spans="1:6" x14ac:dyDescent="0.15">
      <c r="A402" t="s">
        <v>3729</v>
      </c>
      <c r="C402" t="s">
        <v>2974</v>
      </c>
      <c r="F402" t="s">
        <v>638</v>
      </c>
    </row>
    <row r="403" spans="1:6" x14ac:dyDescent="0.15">
      <c r="A403" t="s">
        <v>2514</v>
      </c>
      <c r="C403" t="s">
        <v>2975</v>
      </c>
      <c r="F403" t="s">
        <v>639</v>
      </c>
    </row>
    <row r="404" spans="1:6" x14ac:dyDescent="0.15">
      <c r="A404" t="s">
        <v>26</v>
      </c>
      <c r="C404" t="s">
        <v>2976</v>
      </c>
      <c r="F404" t="s">
        <v>640</v>
      </c>
    </row>
    <row r="405" spans="1:6" x14ac:dyDescent="0.15">
      <c r="A405" t="s">
        <v>3730</v>
      </c>
      <c r="C405" t="s">
        <v>2977</v>
      </c>
      <c r="F405" t="s">
        <v>641</v>
      </c>
    </row>
    <row r="406" spans="1:6" x14ac:dyDescent="0.15">
      <c r="A406" t="s">
        <v>3731</v>
      </c>
      <c r="C406" t="s">
        <v>2978</v>
      </c>
      <c r="F406" t="s">
        <v>642</v>
      </c>
    </row>
    <row r="407" spans="1:6" x14ac:dyDescent="0.15">
      <c r="A407" t="s">
        <v>3732</v>
      </c>
      <c r="C407" t="s">
        <v>2979</v>
      </c>
      <c r="F407" t="s">
        <v>643</v>
      </c>
    </row>
    <row r="408" spans="1:6" x14ac:dyDescent="0.15">
      <c r="A408" t="s">
        <v>3733</v>
      </c>
      <c r="C408" t="s">
        <v>2980</v>
      </c>
      <c r="F408" t="s">
        <v>644</v>
      </c>
    </row>
    <row r="409" spans="1:6" x14ac:dyDescent="0.15">
      <c r="A409" t="s">
        <v>3734</v>
      </c>
      <c r="C409" t="s">
        <v>2981</v>
      </c>
      <c r="F409" t="s">
        <v>645</v>
      </c>
    </row>
    <row r="410" spans="1:6" x14ac:dyDescent="0.15">
      <c r="A410" t="s">
        <v>3735</v>
      </c>
      <c r="C410" t="s">
        <v>2982</v>
      </c>
      <c r="F410" t="s">
        <v>646</v>
      </c>
    </row>
    <row r="411" spans="1:6" x14ac:dyDescent="0.15">
      <c r="A411" t="s">
        <v>3736</v>
      </c>
      <c r="C411" t="s">
        <v>2983</v>
      </c>
      <c r="F411" t="s">
        <v>647</v>
      </c>
    </row>
    <row r="412" spans="1:6" x14ac:dyDescent="0.15">
      <c r="A412" t="s">
        <v>6</v>
      </c>
      <c r="C412" t="s">
        <v>2984</v>
      </c>
      <c r="F412" t="s">
        <v>648</v>
      </c>
    </row>
    <row r="413" spans="1:6" x14ac:dyDescent="0.15">
      <c r="A413" t="s">
        <v>3737</v>
      </c>
      <c r="C413" t="s">
        <v>2985</v>
      </c>
      <c r="F413" t="s">
        <v>649</v>
      </c>
    </row>
    <row r="414" spans="1:6" x14ac:dyDescent="0.15">
      <c r="A414" t="s">
        <v>3738</v>
      </c>
      <c r="C414" t="s">
        <v>2986</v>
      </c>
      <c r="F414" t="s">
        <v>650</v>
      </c>
    </row>
    <row r="415" spans="1:6" x14ac:dyDescent="0.15">
      <c r="A415" t="s">
        <v>3739</v>
      </c>
      <c r="C415" t="s">
        <v>2987</v>
      </c>
      <c r="F415" t="s">
        <v>651</v>
      </c>
    </row>
    <row r="416" spans="1:6" x14ac:dyDescent="0.15">
      <c r="A416" t="s">
        <v>1816</v>
      </c>
      <c r="C416" t="s">
        <v>2988</v>
      </c>
      <c r="F416" t="s">
        <v>652</v>
      </c>
    </row>
    <row r="417" spans="1:6" x14ac:dyDescent="0.15">
      <c r="A417" t="s">
        <v>363</v>
      </c>
      <c r="C417" t="s">
        <v>2989</v>
      </c>
      <c r="F417" t="s">
        <v>653</v>
      </c>
    </row>
    <row r="418" spans="1:6" x14ac:dyDescent="0.15">
      <c r="A418" t="s">
        <v>3740</v>
      </c>
      <c r="C418" t="s">
        <v>2990</v>
      </c>
      <c r="F418" t="s">
        <v>654</v>
      </c>
    </row>
    <row r="419" spans="1:6" x14ac:dyDescent="0.15">
      <c r="A419" t="s">
        <v>3741</v>
      </c>
      <c r="C419" t="s">
        <v>2991</v>
      </c>
      <c r="F419" t="s">
        <v>655</v>
      </c>
    </row>
    <row r="420" spans="1:6" x14ac:dyDescent="0.15">
      <c r="A420" t="s">
        <v>3742</v>
      </c>
      <c r="C420" t="s">
        <v>2992</v>
      </c>
      <c r="F420" t="s">
        <v>656</v>
      </c>
    </row>
    <row r="421" spans="1:6" x14ac:dyDescent="0.15">
      <c r="A421" t="s">
        <v>3743</v>
      </c>
      <c r="C421" t="s">
        <v>2993</v>
      </c>
      <c r="F421" t="s">
        <v>657</v>
      </c>
    </row>
    <row r="422" spans="1:6" x14ac:dyDescent="0.15">
      <c r="A422" t="s">
        <v>3744</v>
      </c>
      <c r="C422" t="s">
        <v>2994</v>
      </c>
      <c r="F422" t="s">
        <v>658</v>
      </c>
    </row>
    <row r="423" spans="1:6" x14ac:dyDescent="0.15">
      <c r="A423" t="s">
        <v>3745</v>
      </c>
      <c r="C423" t="s">
        <v>1035</v>
      </c>
      <c r="F423" t="s">
        <v>659</v>
      </c>
    </row>
    <row r="424" spans="1:6" x14ac:dyDescent="0.15">
      <c r="A424" t="s">
        <v>3746</v>
      </c>
      <c r="C424" t="s">
        <v>2995</v>
      </c>
      <c r="F424" t="s">
        <v>660</v>
      </c>
    </row>
    <row r="425" spans="1:6" x14ac:dyDescent="0.15">
      <c r="A425" t="s">
        <v>3747</v>
      </c>
      <c r="C425" t="s">
        <v>2996</v>
      </c>
      <c r="F425" t="s">
        <v>661</v>
      </c>
    </row>
    <row r="426" spans="1:6" x14ac:dyDescent="0.15">
      <c r="A426" t="s">
        <v>3748</v>
      </c>
      <c r="C426" t="s">
        <v>2997</v>
      </c>
      <c r="F426" t="s">
        <v>662</v>
      </c>
    </row>
    <row r="427" spans="1:6" x14ac:dyDescent="0.15">
      <c r="A427" t="s">
        <v>2431</v>
      </c>
      <c r="C427" t="s">
        <v>2998</v>
      </c>
      <c r="F427" t="s">
        <v>663</v>
      </c>
    </row>
    <row r="428" spans="1:6" x14ac:dyDescent="0.15">
      <c r="A428" t="s">
        <v>3749</v>
      </c>
      <c r="C428" t="s">
        <v>2999</v>
      </c>
      <c r="F428" t="s">
        <v>664</v>
      </c>
    </row>
    <row r="429" spans="1:6" x14ac:dyDescent="0.15">
      <c r="A429" t="s">
        <v>3750</v>
      </c>
      <c r="C429" t="s">
        <v>3000</v>
      </c>
      <c r="F429" t="s">
        <v>173</v>
      </c>
    </row>
    <row r="430" spans="1:6" x14ac:dyDescent="0.15">
      <c r="A430" t="s">
        <v>166</v>
      </c>
      <c r="C430" t="s">
        <v>3001</v>
      </c>
      <c r="F430" t="s">
        <v>665</v>
      </c>
    </row>
    <row r="431" spans="1:6" x14ac:dyDescent="0.15">
      <c r="A431" t="s">
        <v>3751</v>
      </c>
      <c r="C431" t="s">
        <v>3002</v>
      </c>
      <c r="F431" t="s">
        <v>666</v>
      </c>
    </row>
    <row r="432" spans="1:6" x14ac:dyDescent="0.15">
      <c r="A432" t="s">
        <v>3752</v>
      </c>
      <c r="C432" t="s">
        <v>3003</v>
      </c>
      <c r="F432" t="s">
        <v>667</v>
      </c>
    </row>
    <row r="433" spans="1:6" x14ac:dyDescent="0.15">
      <c r="A433" t="s">
        <v>202</v>
      </c>
      <c r="C433" t="s">
        <v>3004</v>
      </c>
      <c r="F433" t="s">
        <v>668</v>
      </c>
    </row>
    <row r="434" spans="1:6" x14ac:dyDescent="0.15">
      <c r="A434" t="s">
        <v>3753</v>
      </c>
      <c r="C434" t="s">
        <v>3005</v>
      </c>
      <c r="F434" t="s">
        <v>669</v>
      </c>
    </row>
    <row r="435" spans="1:6" x14ac:dyDescent="0.15">
      <c r="A435" t="s">
        <v>3754</v>
      </c>
      <c r="C435" t="s">
        <v>3006</v>
      </c>
      <c r="F435" t="s">
        <v>670</v>
      </c>
    </row>
    <row r="436" spans="1:6" x14ac:dyDescent="0.15">
      <c r="A436" t="s">
        <v>3755</v>
      </c>
      <c r="C436" t="s">
        <v>3007</v>
      </c>
      <c r="F436" t="s">
        <v>671</v>
      </c>
    </row>
    <row r="437" spans="1:6" x14ac:dyDescent="0.15">
      <c r="A437" t="s">
        <v>1734</v>
      </c>
      <c r="C437" t="s">
        <v>3008</v>
      </c>
      <c r="F437" t="s">
        <v>672</v>
      </c>
    </row>
    <row r="438" spans="1:6" x14ac:dyDescent="0.15">
      <c r="A438" t="s">
        <v>3756</v>
      </c>
      <c r="C438" t="s">
        <v>3009</v>
      </c>
      <c r="F438" t="s">
        <v>673</v>
      </c>
    </row>
    <row r="439" spans="1:6" x14ac:dyDescent="0.15">
      <c r="A439" t="s">
        <v>3757</v>
      </c>
      <c r="C439" t="s">
        <v>3010</v>
      </c>
      <c r="F439" t="s">
        <v>674</v>
      </c>
    </row>
    <row r="440" spans="1:6" x14ac:dyDescent="0.15">
      <c r="A440" t="s">
        <v>3758</v>
      </c>
      <c r="C440" t="s">
        <v>3011</v>
      </c>
      <c r="F440" t="s">
        <v>675</v>
      </c>
    </row>
    <row r="441" spans="1:6" x14ac:dyDescent="0.15">
      <c r="A441" t="s">
        <v>3759</v>
      </c>
      <c r="C441" t="s">
        <v>3012</v>
      </c>
      <c r="F441" t="s">
        <v>676</v>
      </c>
    </row>
    <row r="442" spans="1:6" x14ac:dyDescent="0.15">
      <c r="A442" t="s">
        <v>3760</v>
      </c>
      <c r="C442" t="s">
        <v>3013</v>
      </c>
      <c r="F442" t="s">
        <v>677</v>
      </c>
    </row>
    <row r="443" spans="1:6" x14ac:dyDescent="0.15">
      <c r="A443" t="s">
        <v>3761</v>
      </c>
      <c r="C443" t="s">
        <v>3014</v>
      </c>
      <c r="F443" t="s">
        <v>678</v>
      </c>
    </row>
    <row r="444" spans="1:6" x14ac:dyDescent="0.15">
      <c r="A444" t="s">
        <v>3762</v>
      </c>
      <c r="C444" t="s">
        <v>3015</v>
      </c>
      <c r="F444" t="s">
        <v>679</v>
      </c>
    </row>
    <row r="445" spans="1:6" x14ac:dyDescent="0.15">
      <c r="A445" t="s">
        <v>3763</v>
      </c>
      <c r="C445" t="s">
        <v>3016</v>
      </c>
      <c r="F445" t="s">
        <v>680</v>
      </c>
    </row>
    <row r="446" spans="1:6" x14ac:dyDescent="0.15">
      <c r="A446" t="s">
        <v>140</v>
      </c>
      <c r="C446" t="s">
        <v>3017</v>
      </c>
      <c r="F446" t="s">
        <v>681</v>
      </c>
    </row>
    <row r="447" spans="1:6" x14ac:dyDescent="0.15">
      <c r="A447" t="s">
        <v>3764</v>
      </c>
      <c r="C447" t="s">
        <v>3018</v>
      </c>
      <c r="F447" t="s">
        <v>682</v>
      </c>
    </row>
    <row r="448" spans="1:6" x14ac:dyDescent="0.15">
      <c r="A448" t="s">
        <v>3765</v>
      </c>
      <c r="C448" t="s">
        <v>3019</v>
      </c>
      <c r="F448" t="s">
        <v>683</v>
      </c>
    </row>
    <row r="449" spans="1:6" x14ac:dyDescent="0.15">
      <c r="A449" t="s">
        <v>1769</v>
      </c>
      <c r="C449" t="s">
        <v>3020</v>
      </c>
      <c r="F449" t="s">
        <v>684</v>
      </c>
    </row>
    <row r="450" spans="1:6" x14ac:dyDescent="0.15">
      <c r="A450" t="s">
        <v>3766</v>
      </c>
      <c r="C450" t="s">
        <v>3021</v>
      </c>
      <c r="F450" t="s">
        <v>685</v>
      </c>
    </row>
    <row r="451" spans="1:6" x14ac:dyDescent="0.15">
      <c r="A451" t="s">
        <v>2568</v>
      </c>
      <c r="C451" t="s">
        <v>3022</v>
      </c>
      <c r="F451" t="s">
        <v>686</v>
      </c>
    </row>
    <row r="452" spans="1:6" x14ac:dyDescent="0.15">
      <c r="A452" t="s">
        <v>3767</v>
      </c>
      <c r="C452" t="s">
        <v>3023</v>
      </c>
      <c r="F452" t="s">
        <v>687</v>
      </c>
    </row>
    <row r="453" spans="1:6" x14ac:dyDescent="0.15">
      <c r="A453" t="s">
        <v>3768</v>
      </c>
      <c r="C453" t="s">
        <v>3024</v>
      </c>
      <c r="F453" t="s">
        <v>688</v>
      </c>
    </row>
    <row r="454" spans="1:6" x14ac:dyDescent="0.15">
      <c r="A454" t="s">
        <v>3769</v>
      </c>
      <c r="C454" t="s">
        <v>3025</v>
      </c>
      <c r="F454" t="s">
        <v>689</v>
      </c>
    </row>
    <row r="455" spans="1:6" x14ac:dyDescent="0.15">
      <c r="A455" t="s">
        <v>3770</v>
      </c>
      <c r="C455" t="s">
        <v>3026</v>
      </c>
      <c r="F455" t="s">
        <v>690</v>
      </c>
    </row>
    <row r="456" spans="1:6" x14ac:dyDescent="0.15">
      <c r="A456" t="s">
        <v>3771</v>
      </c>
      <c r="C456" t="s">
        <v>3027</v>
      </c>
      <c r="F456" t="s">
        <v>691</v>
      </c>
    </row>
    <row r="457" spans="1:6" x14ac:dyDescent="0.15">
      <c r="A457" t="s">
        <v>3772</v>
      </c>
      <c r="C457" t="s">
        <v>3028</v>
      </c>
      <c r="F457" t="s">
        <v>692</v>
      </c>
    </row>
    <row r="458" spans="1:6" x14ac:dyDescent="0.15">
      <c r="A458" t="s">
        <v>223</v>
      </c>
      <c r="C458" t="s">
        <v>3029</v>
      </c>
      <c r="F458" t="s">
        <v>693</v>
      </c>
    </row>
    <row r="459" spans="1:6" x14ac:dyDescent="0.15">
      <c r="A459" t="s">
        <v>1119</v>
      </c>
      <c r="C459" t="s">
        <v>3030</v>
      </c>
      <c r="F459" t="s">
        <v>694</v>
      </c>
    </row>
    <row r="460" spans="1:6" x14ac:dyDescent="0.15">
      <c r="A460" t="s">
        <v>3773</v>
      </c>
      <c r="C460" t="s">
        <v>3031</v>
      </c>
      <c r="F460" t="s">
        <v>695</v>
      </c>
    </row>
    <row r="461" spans="1:6" x14ac:dyDescent="0.15">
      <c r="A461" t="s">
        <v>2541</v>
      </c>
      <c r="C461" t="s">
        <v>3032</v>
      </c>
      <c r="F461" t="s">
        <v>696</v>
      </c>
    </row>
    <row r="462" spans="1:6" x14ac:dyDescent="0.15">
      <c r="A462" t="s">
        <v>3774</v>
      </c>
      <c r="C462" t="s">
        <v>3033</v>
      </c>
      <c r="F462" t="s">
        <v>697</v>
      </c>
    </row>
    <row r="463" spans="1:6" x14ac:dyDescent="0.15">
      <c r="A463" t="s">
        <v>3775</v>
      </c>
      <c r="C463" t="s">
        <v>3034</v>
      </c>
      <c r="F463" t="s">
        <v>698</v>
      </c>
    </row>
    <row r="464" spans="1:6" x14ac:dyDescent="0.15">
      <c r="A464" t="s">
        <v>3776</v>
      </c>
      <c r="C464" t="s">
        <v>3035</v>
      </c>
      <c r="F464" t="s">
        <v>699</v>
      </c>
    </row>
    <row r="465" spans="1:6" x14ac:dyDescent="0.15">
      <c r="A465" t="s">
        <v>3777</v>
      </c>
      <c r="C465" t="s">
        <v>3036</v>
      </c>
      <c r="F465" t="s">
        <v>700</v>
      </c>
    </row>
    <row r="466" spans="1:6" x14ac:dyDescent="0.15">
      <c r="A466" t="s">
        <v>3778</v>
      </c>
      <c r="C466" t="s">
        <v>3037</v>
      </c>
      <c r="F466" t="s">
        <v>701</v>
      </c>
    </row>
    <row r="467" spans="1:6" x14ac:dyDescent="0.15">
      <c r="A467" t="s">
        <v>3779</v>
      </c>
      <c r="C467" t="s">
        <v>3038</v>
      </c>
      <c r="F467" t="s">
        <v>702</v>
      </c>
    </row>
    <row r="468" spans="1:6" x14ac:dyDescent="0.15">
      <c r="A468" t="s">
        <v>116</v>
      </c>
      <c r="C468" t="s">
        <v>3039</v>
      </c>
      <c r="F468" t="s">
        <v>703</v>
      </c>
    </row>
    <row r="469" spans="1:6" x14ac:dyDescent="0.15">
      <c r="A469" t="s">
        <v>3780</v>
      </c>
      <c r="C469" t="s">
        <v>3040</v>
      </c>
      <c r="F469" t="s">
        <v>704</v>
      </c>
    </row>
    <row r="470" spans="1:6" x14ac:dyDescent="0.15">
      <c r="A470" t="s">
        <v>3781</v>
      </c>
      <c r="C470" t="s">
        <v>3041</v>
      </c>
      <c r="F470" t="s">
        <v>705</v>
      </c>
    </row>
    <row r="471" spans="1:6" x14ac:dyDescent="0.15">
      <c r="A471" t="s">
        <v>3782</v>
      </c>
      <c r="C471" t="s">
        <v>3042</v>
      </c>
      <c r="F471" t="s">
        <v>706</v>
      </c>
    </row>
    <row r="472" spans="1:6" x14ac:dyDescent="0.15">
      <c r="A472" t="s">
        <v>3783</v>
      </c>
      <c r="C472" t="s">
        <v>1604</v>
      </c>
      <c r="F472" t="s">
        <v>707</v>
      </c>
    </row>
    <row r="473" spans="1:6" x14ac:dyDescent="0.15">
      <c r="A473" t="s">
        <v>78</v>
      </c>
      <c r="C473" t="s">
        <v>3043</v>
      </c>
      <c r="F473" t="s">
        <v>708</v>
      </c>
    </row>
    <row r="474" spans="1:6" x14ac:dyDescent="0.15">
      <c r="A474" t="s">
        <v>1339</v>
      </c>
      <c r="C474" t="s">
        <v>3044</v>
      </c>
      <c r="F474" t="s">
        <v>709</v>
      </c>
    </row>
    <row r="475" spans="1:6" x14ac:dyDescent="0.15">
      <c r="A475" t="s">
        <v>3784</v>
      </c>
      <c r="C475" t="s">
        <v>3045</v>
      </c>
      <c r="F475" t="s">
        <v>710</v>
      </c>
    </row>
    <row r="476" spans="1:6" x14ac:dyDescent="0.15">
      <c r="A476" t="s">
        <v>3785</v>
      </c>
      <c r="C476" t="s">
        <v>3046</v>
      </c>
      <c r="F476" t="s">
        <v>711</v>
      </c>
    </row>
    <row r="477" spans="1:6" x14ac:dyDescent="0.15">
      <c r="A477" t="s">
        <v>1619</v>
      </c>
      <c r="C477" t="s">
        <v>3047</v>
      </c>
      <c r="F477" t="s">
        <v>712</v>
      </c>
    </row>
    <row r="478" spans="1:6" x14ac:dyDescent="0.15">
      <c r="A478" t="s">
        <v>3786</v>
      </c>
      <c r="C478" t="s">
        <v>3048</v>
      </c>
      <c r="F478" t="s">
        <v>713</v>
      </c>
    </row>
    <row r="479" spans="1:6" x14ac:dyDescent="0.15">
      <c r="A479" t="s">
        <v>3787</v>
      </c>
      <c r="C479" t="s">
        <v>3049</v>
      </c>
      <c r="F479" t="s">
        <v>714</v>
      </c>
    </row>
    <row r="480" spans="1:6" x14ac:dyDescent="0.15">
      <c r="A480" t="s">
        <v>3788</v>
      </c>
      <c r="C480" t="s">
        <v>3050</v>
      </c>
      <c r="F480" t="s">
        <v>715</v>
      </c>
    </row>
    <row r="481" spans="1:6" x14ac:dyDescent="0.15">
      <c r="A481" t="s">
        <v>3789</v>
      </c>
      <c r="C481" t="s">
        <v>3051</v>
      </c>
      <c r="F481" t="s">
        <v>716</v>
      </c>
    </row>
    <row r="482" spans="1:6" x14ac:dyDescent="0.15">
      <c r="A482" t="s">
        <v>3790</v>
      </c>
      <c r="C482" t="s">
        <v>3052</v>
      </c>
      <c r="F482" t="s">
        <v>717</v>
      </c>
    </row>
    <row r="483" spans="1:6" x14ac:dyDescent="0.15">
      <c r="A483" t="s">
        <v>3791</v>
      </c>
      <c r="C483" t="s">
        <v>3053</v>
      </c>
      <c r="F483" t="s">
        <v>718</v>
      </c>
    </row>
    <row r="484" spans="1:6" x14ac:dyDescent="0.15">
      <c r="A484" t="s">
        <v>3792</v>
      </c>
      <c r="C484" t="s">
        <v>3054</v>
      </c>
      <c r="F484" t="s">
        <v>719</v>
      </c>
    </row>
    <row r="485" spans="1:6" x14ac:dyDescent="0.15">
      <c r="A485" t="s">
        <v>1439</v>
      </c>
      <c r="C485" t="s">
        <v>3055</v>
      </c>
      <c r="F485" t="s">
        <v>720</v>
      </c>
    </row>
    <row r="486" spans="1:6" x14ac:dyDescent="0.15">
      <c r="A486" t="s">
        <v>217</v>
      </c>
      <c r="C486" t="s">
        <v>3056</v>
      </c>
      <c r="F486" t="s">
        <v>721</v>
      </c>
    </row>
    <row r="487" spans="1:6" x14ac:dyDescent="0.15">
      <c r="A487" t="s">
        <v>3793</v>
      </c>
      <c r="C487" t="s">
        <v>3057</v>
      </c>
      <c r="F487" t="s">
        <v>722</v>
      </c>
    </row>
    <row r="488" spans="1:6" x14ac:dyDescent="0.15">
      <c r="A488" t="s">
        <v>3794</v>
      </c>
      <c r="C488" t="s">
        <v>961</v>
      </c>
      <c r="F488" t="s">
        <v>723</v>
      </c>
    </row>
    <row r="489" spans="1:6" x14ac:dyDescent="0.15">
      <c r="A489" t="s">
        <v>3795</v>
      </c>
      <c r="C489" t="s">
        <v>3058</v>
      </c>
      <c r="F489" t="s">
        <v>724</v>
      </c>
    </row>
    <row r="490" spans="1:6" x14ac:dyDescent="0.15">
      <c r="A490" t="s">
        <v>3796</v>
      </c>
      <c r="C490" t="s">
        <v>3059</v>
      </c>
      <c r="F490" t="s">
        <v>725</v>
      </c>
    </row>
    <row r="491" spans="1:6" x14ac:dyDescent="0.15">
      <c r="A491" t="s">
        <v>3797</v>
      </c>
      <c r="C491" t="s">
        <v>3060</v>
      </c>
      <c r="F491" t="s">
        <v>726</v>
      </c>
    </row>
    <row r="492" spans="1:6" x14ac:dyDescent="0.15">
      <c r="A492" t="s">
        <v>3798</v>
      </c>
      <c r="C492" t="s">
        <v>3061</v>
      </c>
      <c r="F492" t="s">
        <v>727</v>
      </c>
    </row>
    <row r="493" spans="1:6" x14ac:dyDescent="0.15">
      <c r="A493" t="s">
        <v>3799</v>
      </c>
      <c r="C493" t="s">
        <v>3062</v>
      </c>
      <c r="F493" t="s">
        <v>728</v>
      </c>
    </row>
    <row r="494" spans="1:6" x14ac:dyDescent="0.15">
      <c r="A494" t="s">
        <v>3800</v>
      </c>
      <c r="C494" t="s">
        <v>3063</v>
      </c>
      <c r="F494" t="s">
        <v>729</v>
      </c>
    </row>
    <row r="495" spans="1:6" x14ac:dyDescent="0.15">
      <c r="A495" t="s">
        <v>3801</v>
      </c>
      <c r="C495" t="s">
        <v>982</v>
      </c>
      <c r="F495" t="s">
        <v>730</v>
      </c>
    </row>
    <row r="496" spans="1:6" x14ac:dyDescent="0.15">
      <c r="A496" t="s">
        <v>3802</v>
      </c>
      <c r="C496" t="s">
        <v>3064</v>
      </c>
      <c r="F496" t="s">
        <v>731</v>
      </c>
    </row>
    <row r="497" spans="1:6" x14ac:dyDescent="0.15">
      <c r="A497" t="s">
        <v>3803</v>
      </c>
      <c r="C497" t="s">
        <v>3065</v>
      </c>
      <c r="F497" t="s">
        <v>732</v>
      </c>
    </row>
    <row r="498" spans="1:6" x14ac:dyDescent="0.15">
      <c r="A498" t="s">
        <v>3804</v>
      </c>
      <c r="C498" t="s">
        <v>3066</v>
      </c>
      <c r="F498" t="s">
        <v>733</v>
      </c>
    </row>
    <row r="499" spans="1:6" x14ac:dyDescent="0.15">
      <c r="A499" t="s">
        <v>3805</v>
      </c>
      <c r="C499" t="s">
        <v>3067</v>
      </c>
      <c r="F499" t="s">
        <v>734</v>
      </c>
    </row>
    <row r="500" spans="1:6" x14ac:dyDescent="0.15">
      <c r="A500" t="s">
        <v>598</v>
      </c>
      <c r="C500" t="s">
        <v>3068</v>
      </c>
      <c r="F500" t="s">
        <v>735</v>
      </c>
    </row>
    <row r="501" spans="1:6" x14ac:dyDescent="0.15">
      <c r="A501" t="s">
        <v>3806</v>
      </c>
      <c r="C501" t="s">
        <v>3069</v>
      </c>
      <c r="F501" t="s">
        <v>736</v>
      </c>
    </row>
    <row r="502" spans="1:6" x14ac:dyDescent="0.15">
      <c r="A502" t="s">
        <v>3807</v>
      </c>
      <c r="C502" t="s">
        <v>3070</v>
      </c>
      <c r="F502" t="s">
        <v>737</v>
      </c>
    </row>
    <row r="503" spans="1:6" x14ac:dyDescent="0.15">
      <c r="A503" t="s">
        <v>3808</v>
      </c>
      <c r="C503" t="s">
        <v>3071</v>
      </c>
      <c r="F503" t="s">
        <v>738</v>
      </c>
    </row>
    <row r="504" spans="1:6" x14ac:dyDescent="0.15">
      <c r="A504" t="s">
        <v>3809</v>
      </c>
      <c r="C504" t="s">
        <v>3072</v>
      </c>
      <c r="F504" t="s">
        <v>200</v>
      </c>
    </row>
    <row r="505" spans="1:6" x14ac:dyDescent="0.15">
      <c r="A505" t="s">
        <v>2609</v>
      </c>
      <c r="C505" t="s">
        <v>3073</v>
      </c>
      <c r="F505" t="s">
        <v>739</v>
      </c>
    </row>
    <row r="506" spans="1:6" x14ac:dyDescent="0.15">
      <c r="A506" t="s">
        <v>3810</v>
      </c>
      <c r="C506" t="s">
        <v>3074</v>
      </c>
      <c r="F506" t="s">
        <v>740</v>
      </c>
    </row>
    <row r="507" spans="1:6" x14ac:dyDescent="0.15">
      <c r="A507" t="s">
        <v>229</v>
      </c>
      <c r="C507" t="s">
        <v>3075</v>
      </c>
      <c r="F507" t="s">
        <v>741</v>
      </c>
    </row>
    <row r="508" spans="1:6" x14ac:dyDescent="0.15">
      <c r="A508" t="s">
        <v>41</v>
      </c>
      <c r="C508" t="s">
        <v>3076</v>
      </c>
      <c r="F508" t="s">
        <v>742</v>
      </c>
    </row>
    <row r="509" spans="1:6" x14ac:dyDescent="0.15">
      <c r="A509" t="s">
        <v>3811</v>
      </c>
      <c r="C509" t="s">
        <v>3077</v>
      </c>
      <c r="F509" t="s">
        <v>743</v>
      </c>
    </row>
    <row r="510" spans="1:6" x14ac:dyDescent="0.15">
      <c r="A510" t="s">
        <v>3812</v>
      </c>
      <c r="C510" t="s">
        <v>3078</v>
      </c>
      <c r="F510" t="s">
        <v>744</v>
      </c>
    </row>
    <row r="511" spans="1:6" x14ac:dyDescent="0.15">
      <c r="A511" t="s">
        <v>1774</v>
      </c>
      <c r="C511" t="s">
        <v>3079</v>
      </c>
      <c r="F511" t="s">
        <v>745</v>
      </c>
    </row>
    <row r="512" spans="1:6" x14ac:dyDescent="0.15">
      <c r="A512" t="s">
        <v>3813</v>
      </c>
      <c r="C512" t="s">
        <v>3080</v>
      </c>
      <c r="F512" t="s">
        <v>746</v>
      </c>
    </row>
    <row r="513" spans="1:6" x14ac:dyDescent="0.15">
      <c r="A513" t="s">
        <v>3814</v>
      </c>
      <c r="C513" t="s">
        <v>3081</v>
      </c>
      <c r="F513" t="s">
        <v>747</v>
      </c>
    </row>
    <row r="514" spans="1:6" x14ac:dyDescent="0.15">
      <c r="A514" t="s">
        <v>3815</v>
      </c>
      <c r="C514" t="s">
        <v>3082</v>
      </c>
      <c r="F514" t="s">
        <v>748</v>
      </c>
    </row>
    <row r="515" spans="1:6" x14ac:dyDescent="0.15">
      <c r="A515" t="s">
        <v>2474</v>
      </c>
      <c r="C515" t="s">
        <v>3083</v>
      </c>
      <c r="F515" t="s">
        <v>749</v>
      </c>
    </row>
    <row r="516" spans="1:6" x14ac:dyDescent="0.15">
      <c r="A516" t="s">
        <v>3816</v>
      </c>
      <c r="C516" t="s">
        <v>3084</v>
      </c>
      <c r="F516" t="s">
        <v>750</v>
      </c>
    </row>
    <row r="517" spans="1:6" x14ac:dyDescent="0.15">
      <c r="A517" t="s">
        <v>1312</v>
      </c>
      <c r="C517" t="s">
        <v>3085</v>
      </c>
      <c r="F517" t="s">
        <v>751</v>
      </c>
    </row>
    <row r="518" spans="1:6" x14ac:dyDescent="0.15">
      <c r="A518" t="s">
        <v>3817</v>
      </c>
      <c r="C518" t="s">
        <v>226</v>
      </c>
      <c r="F518" t="s">
        <v>752</v>
      </c>
    </row>
    <row r="519" spans="1:6" x14ac:dyDescent="0.15">
      <c r="A519" t="s">
        <v>3818</v>
      </c>
      <c r="C519" t="s">
        <v>3086</v>
      </c>
      <c r="F519" t="s">
        <v>753</v>
      </c>
    </row>
    <row r="520" spans="1:6" x14ac:dyDescent="0.15">
      <c r="A520" t="s">
        <v>2830</v>
      </c>
      <c r="C520" t="s">
        <v>3087</v>
      </c>
      <c r="F520" t="s">
        <v>754</v>
      </c>
    </row>
    <row r="521" spans="1:6" x14ac:dyDescent="0.15">
      <c r="A521" t="s">
        <v>3819</v>
      </c>
      <c r="C521" t="s">
        <v>3088</v>
      </c>
      <c r="F521" t="s">
        <v>755</v>
      </c>
    </row>
    <row r="522" spans="1:6" x14ac:dyDescent="0.15">
      <c r="A522" t="s">
        <v>3820</v>
      </c>
      <c r="C522" t="s">
        <v>3089</v>
      </c>
      <c r="F522" t="s">
        <v>756</v>
      </c>
    </row>
    <row r="523" spans="1:6" x14ac:dyDescent="0.15">
      <c r="A523" t="s">
        <v>3821</v>
      </c>
      <c r="C523" t="s">
        <v>3090</v>
      </c>
      <c r="F523" t="s">
        <v>757</v>
      </c>
    </row>
    <row r="524" spans="1:6" x14ac:dyDescent="0.15">
      <c r="A524" t="s">
        <v>3822</v>
      </c>
      <c r="C524" t="s">
        <v>3091</v>
      </c>
      <c r="F524" t="s">
        <v>758</v>
      </c>
    </row>
    <row r="525" spans="1:6" x14ac:dyDescent="0.15">
      <c r="A525" t="s">
        <v>3823</v>
      </c>
      <c r="C525" t="s">
        <v>3092</v>
      </c>
      <c r="F525" t="s">
        <v>759</v>
      </c>
    </row>
    <row r="526" spans="1:6" x14ac:dyDescent="0.15">
      <c r="A526" t="s">
        <v>1139</v>
      </c>
      <c r="C526" t="s">
        <v>3093</v>
      </c>
      <c r="F526" t="s">
        <v>760</v>
      </c>
    </row>
    <row r="527" spans="1:6" x14ac:dyDescent="0.15">
      <c r="A527" t="s">
        <v>2521</v>
      </c>
      <c r="C527" t="s">
        <v>3094</v>
      </c>
      <c r="F527" t="s">
        <v>761</v>
      </c>
    </row>
    <row r="528" spans="1:6" x14ac:dyDescent="0.15">
      <c r="A528" t="s">
        <v>3824</v>
      </c>
      <c r="C528" t="s">
        <v>3095</v>
      </c>
      <c r="F528" t="s">
        <v>762</v>
      </c>
    </row>
    <row r="529" spans="1:6" x14ac:dyDescent="0.15">
      <c r="A529" t="s">
        <v>3825</v>
      </c>
      <c r="C529" t="s">
        <v>3096</v>
      </c>
      <c r="F529" t="s">
        <v>208</v>
      </c>
    </row>
    <row r="530" spans="1:6" x14ac:dyDescent="0.15">
      <c r="A530" t="s">
        <v>287</v>
      </c>
      <c r="C530" t="s">
        <v>3097</v>
      </c>
      <c r="F530" t="s">
        <v>763</v>
      </c>
    </row>
    <row r="531" spans="1:6" x14ac:dyDescent="0.15">
      <c r="A531" t="s">
        <v>132</v>
      </c>
      <c r="C531" t="s">
        <v>3098</v>
      </c>
      <c r="F531" t="s">
        <v>764</v>
      </c>
    </row>
    <row r="532" spans="1:6" x14ac:dyDescent="0.15">
      <c r="A532" t="s">
        <v>77</v>
      </c>
      <c r="C532" t="s">
        <v>3099</v>
      </c>
      <c r="F532" t="s">
        <v>765</v>
      </c>
    </row>
    <row r="533" spans="1:6" x14ac:dyDescent="0.15">
      <c r="A533" t="s">
        <v>3826</v>
      </c>
      <c r="C533" t="s">
        <v>3100</v>
      </c>
      <c r="F533" t="s">
        <v>766</v>
      </c>
    </row>
    <row r="534" spans="1:6" x14ac:dyDescent="0.15">
      <c r="A534" t="s">
        <v>101</v>
      </c>
      <c r="C534" t="s">
        <v>3101</v>
      </c>
      <c r="F534" t="s">
        <v>767</v>
      </c>
    </row>
    <row r="535" spans="1:6" x14ac:dyDescent="0.15">
      <c r="A535" t="s">
        <v>3827</v>
      </c>
      <c r="C535" t="s">
        <v>3102</v>
      </c>
      <c r="F535" t="s">
        <v>768</v>
      </c>
    </row>
    <row r="536" spans="1:6" x14ac:dyDescent="0.15">
      <c r="A536" t="s">
        <v>2352</v>
      </c>
      <c r="C536" t="s">
        <v>3103</v>
      </c>
      <c r="F536" t="s">
        <v>769</v>
      </c>
    </row>
    <row r="537" spans="1:6" x14ac:dyDescent="0.15">
      <c r="A537" t="s">
        <v>36</v>
      </c>
      <c r="C537" t="s">
        <v>3104</v>
      </c>
      <c r="F537" t="s">
        <v>770</v>
      </c>
    </row>
    <row r="538" spans="1:6" x14ac:dyDescent="0.15">
      <c r="A538" t="s">
        <v>1187</v>
      </c>
      <c r="C538" t="s">
        <v>3105</v>
      </c>
      <c r="F538" t="s">
        <v>771</v>
      </c>
    </row>
    <row r="539" spans="1:6" x14ac:dyDescent="0.15">
      <c r="A539" t="s">
        <v>3828</v>
      </c>
      <c r="C539" t="s">
        <v>3106</v>
      </c>
      <c r="F539" t="s">
        <v>772</v>
      </c>
    </row>
    <row r="540" spans="1:6" x14ac:dyDescent="0.15">
      <c r="A540" t="s">
        <v>3829</v>
      </c>
      <c r="C540" t="s">
        <v>3107</v>
      </c>
      <c r="F540" t="s">
        <v>773</v>
      </c>
    </row>
    <row r="541" spans="1:6" x14ac:dyDescent="0.15">
      <c r="A541" t="s">
        <v>574</v>
      </c>
      <c r="C541" t="s">
        <v>3108</v>
      </c>
      <c r="F541" t="s">
        <v>774</v>
      </c>
    </row>
    <row r="542" spans="1:6" x14ac:dyDescent="0.15">
      <c r="A542" t="s">
        <v>3830</v>
      </c>
      <c r="C542" t="s">
        <v>3109</v>
      </c>
      <c r="F542" t="s">
        <v>775</v>
      </c>
    </row>
    <row r="543" spans="1:6" x14ac:dyDescent="0.15">
      <c r="A543" t="s">
        <v>3831</v>
      </c>
      <c r="C543" t="s">
        <v>3110</v>
      </c>
      <c r="F543" t="s">
        <v>776</v>
      </c>
    </row>
    <row r="544" spans="1:6" x14ac:dyDescent="0.15">
      <c r="A544" t="s">
        <v>3832</v>
      </c>
      <c r="C544" t="s">
        <v>3111</v>
      </c>
      <c r="F544" t="s">
        <v>777</v>
      </c>
    </row>
    <row r="545" spans="1:6" x14ac:dyDescent="0.15">
      <c r="A545" t="s">
        <v>96</v>
      </c>
      <c r="C545" t="s">
        <v>3112</v>
      </c>
      <c r="F545" t="s">
        <v>778</v>
      </c>
    </row>
    <row r="546" spans="1:6" x14ac:dyDescent="0.15">
      <c r="A546" t="s">
        <v>269</v>
      </c>
      <c r="C546" t="s">
        <v>3113</v>
      </c>
      <c r="F546" t="s">
        <v>779</v>
      </c>
    </row>
    <row r="547" spans="1:6" x14ac:dyDescent="0.15">
      <c r="A547" t="s">
        <v>3833</v>
      </c>
      <c r="C547" t="s">
        <v>3114</v>
      </c>
      <c r="F547" t="s">
        <v>780</v>
      </c>
    </row>
    <row r="548" spans="1:6" x14ac:dyDescent="0.15">
      <c r="A548" t="s">
        <v>3834</v>
      </c>
      <c r="C548" t="s">
        <v>3115</v>
      </c>
      <c r="F548" t="s">
        <v>781</v>
      </c>
    </row>
    <row r="549" spans="1:6" x14ac:dyDescent="0.15">
      <c r="A549" t="s">
        <v>3835</v>
      </c>
      <c r="C549" t="s">
        <v>1009</v>
      </c>
      <c r="F549" t="s">
        <v>782</v>
      </c>
    </row>
    <row r="550" spans="1:6" x14ac:dyDescent="0.15">
      <c r="A550" t="s">
        <v>172</v>
      </c>
      <c r="C550" t="s">
        <v>3116</v>
      </c>
      <c r="F550" t="s">
        <v>783</v>
      </c>
    </row>
    <row r="551" spans="1:6" x14ac:dyDescent="0.15">
      <c r="A551" t="s">
        <v>3836</v>
      </c>
      <c r="C551" t="s">
        <v>3117</v>
      </c>
      <c r="F551" t="s">
        <v>784</v>
      </c>
    </row>
    <row r="552" spans="1:6" x14ac:dyDescent="0.15">
      <c r="A552" t="s">
        <v>1318</v>
      </c>
      <c r="C552" t="s">
        <v>3118</v>
      </c>
      <c r="F552" t="s">
        <v>785</v>
      </c>
    </row>
    <row r="553" spans="1:6" x14ac:dyDescent="0.15">
      <c r="A553" t="s">
        <v>3837</v>
      </c>
      <c r="C553" t="s">
        <v>3119</v>
      </c>
      <c r="F553" t="s">
        <v>786</v>
      </c>
    </row>
    <row r="554" spans="1:6" x14ac:dyDescent="0.15">
      <c r="A554" t="s">
        <v>1805</v>
      </c>
      <c r="C554" t="s">
        <v>3120</v>
      </c>
      <c r="F554" t="s">
        <v>787</v>
      </c>
    </row>
    <row r="555" spans="1:6" x14ac:dyDescent="0.15">
      <c r="A555" t="s">
        <v>196</v>
      </c>
      <c r="C555" t="s">
        <v>3121</v>
      </c>
      <c r="F555" t="s">
        <v>788</v>
      </c>
    </row>
    <row r="556" spans="1:6" x14ac:dyDescent="0.15">
      <c r="A556" t="s">
        <v>147</v>
      </c>
      <c r="C556" t="s">
        <v>3122</v>
      </c>
      <c r="F556" t="s">
        <v>789</v>
      </c>
    </row>
    <row r="557" spans="1:6" x14ac:dyDescent="0.15">
      <c r="A557" t="s">
        <v>1941</v>
      </c>
      <c r="C557" t="s">
        <v>697</v>
      </c>
      <c r="F557" t="s">
        <v>790</v>
      </c>
    </row>
    <row r="558" spans="1:6" x14ac:dyDescent="0.15">
      <c r="A558" t="s">
        <v>3838</v>
      </c>
      <c r="C558" t="s">
        <v>3123</v>
      </c>
      <c r="F558" t="s">
        <v>791</v>
      </c>
    </row>
    <row r="559" spans="1:6" x14ac:dyDescent="0.15">
      <c r="A559" t="s">
        <v>3839</v>
      </c>
      <c r="C559" t="s">
        <v>3124</v>
      </c>
      <c r="F559" t="s">
        <v>792</v>
      </c>
    </row>
    <row r="560" spans="1:6" x14ac:dyDescent="0.15">
      <c r="A560" t="s">
        <v>3840</v>
      </c>
      <c r="C560" t="s">
        <v>3125</v>
      </c>
      <c r="F560" t="s">
        <v>793</v>
      </c>
    </row>
    <row r="561" spans="1:6" x14ac:dyDescent="0.15">
      <c r="A561" t="s">
        <v>1376</v>
      </c>
      <c r="C561" t="s">
        <v>3126</v>
      </c>
      <c r="F561" t="s">
        <v>794</v>
      </c>
    </row>
    <row r="562" spans="1:6" x14ac:dyDescent="0.15">
      <c r="A562" t="s">
        <v>120</v>
      </c>
      <c r="C562" t="s">
        <v>3127</v>
      </c>
      <c r="F562" t="s">
        <v>795</v>
      </c>
    </row>
    <row r="563" spans="1:6" x14ac:dyDescent="0.15">
      <c r="A563" t="s">
        <v>3841</v>
      </c>
      <c r="C563" t="s">
        <v>3128</v>
      </c>
      <c r="F563" t="s">
        <v>796</v>
      </c>
    </row>
    <row r="564" spans="1:6" x14ac:dyDescent="0.15">
      <c r="A564" t="s">
        <v>3842</v>
      </c>
      <c r="C564" t="s">
        <v>3129</v>
      </c>
      <c r="F564" t="s">
        <v>797</v>
      </c>
    </row>
    <row r="565" spans="1:6" x14ac:dyDescent="0.15">
      <c r="A565" t="s">
        <v>1255</v>
      </c>
      <c r="C565" t="s">
        <v>3130</v>
      </c>
      <c r="F565" t="s">
        <v>798</v>
      </c>
    </row>
    <row r="566" spans="1:6" x14ac:dyDescent="0.15">
      <c r="A566" t="s">
        <v>3843</v>
      </c>
      <c r="C566" t="s">
        <v>3131</v>
      </c>
      <c r="F566" t="s">
        <v>799</v>
      </c>
    </row>
    <row r="567" spans="1:6" x14ac:dyDescent="0.15">
      <c r="A567" t="s">
        <v>2116</v>
      </c>
      <c r="C567" t="s">
        <v>3132</v>
      </c>
      <c r="F567" t="s">
        <v>800</v>
      </c>
    </row>
    <row r="568" spans="1:6" x14ac:dyDescent="0.15">
      <c r="A568" t="s">
        <v>3844</v>
      </c>
      <c r="C568" t="s">
        <v>3133</v>
      </c>
      <c r="F568" t="s">
        <v>801</v>
      </c>
    </row>
    <row r="569" spans="1:6" x14ac:dyDescent="0.15">
      <c r="A569" t="s">
        <v>3845</v>
      </c>
      <c r="C569" t="s">
        <v>3134</v>
      </c>
      <c r="F569" t="s">
        <v>802</v>
      </c>
    </row>
    <row r="570" spans="1:6" x14ac:dyDescent="0.15">
      <c r="A570" t="s">
        <v>89</v>
      </c>
      <c r="C570" t="s">
        <v>3135</v>
      </c>
      <c r="F570" t="s">
        <v>803</v>
      </c>
    </row>
    <row r="571" spans="1:6" x14ac:dyDescent="0.15">
      <c r="A571" t="s">
        <v>3846</v>
      </c>
      <c r="C571" t="s">
        <v>3136</v>
      </c>
      <c r="F571" t="s">
        <v>804</v>
      </c>
    </row>
    <row r="572" spans="1:6" x14ac:dyDescent="0.15">
      <c r="A572" t="s">
        <v>33</v>
      </c>
      <c r="C572" t="s">
        <v>3137</v>
      </c>
      <c r="F572" t="s">
        <v>805</v>
      </c>
    </row>
    <row r="573" spans="1:6" x14ac:dyDescent="0.15">
      <c r="A573" t="s">
        <v>3847</v>
      </c>
      <c r="C573" t="s">
        <v>3138</v>
      </c>
      <c r="F573" t="s">
        <v>806</v>
      </c>
    </row>
    <row r="574" spans="1:6" x14ac:dyDescent="0.15">
      <c r="A574" t="s">
        <v>3848</v>
      </c>
      <c r="C574" t="s">
        <v>3139</v>
      </c>
      <c r="F574" t="s">
        <v>807</v>
      </c>
    </row>
    <row r="575" spans="1:6" x14ac:dyDescent="0.15">
      <c r="A575" t="s">
        <v>3849</v>
      </c>
      <c r="C575" t="s">
        <v>3140</v>
      </c>
      <c r="F575" t="s">
        <v>808</v>
      </c>
    </row>
    <row r="576" spans="1:6" x14ac:dyDescent="0.15">
      <c r="A576" t="s">
        <v>3850</v>
      </c>
      <c r="C576" t="s">
        <v>3141</v>
      </c>
      <c r="F576" t="s">
        <v>809</v>
      </c>
    </row>
    <row r="577" spans="1:6" x14ac:dyDescent="0.15">
      <c r="A577" t="s">
        <v>3851</v>
      </c>
      <c r="C577" t="s">
        <v>3142</v>
      </c>
      <c r="F577" t="s">
        <v>810</v>
      </c>
    </row>
    <row r="578" spans="1:6" x14ac:dyDescent="0.15">
      <c r="A578" t="s">
        <v>1692</v>
      </c>
      <c r="C578" t="s">
        <v>868</v>
      </c>
      <c r="F578" t="s">
        <v>811</v>
      </c>
    </row>
    <row r="579" spans="1:6" x14ac:dyDescent="0.15">
      <c r="A579" t="s">
        <v>3852</v>
      </c>
      <c r="C579" t="s">
        <v>3143</v>
      </c>
      <c r="F579" t="s">
        <v>812</v>
      </c>
    </row>
    <row r="580" spans="1:6" x14ac:dyDescent="0.15">
      <c r="A580" t="s">
        <v>3853</v>
      </c>
      <c r="C580" t="s">
        <v>3144</v>
      </c>
      <c r="F580" t="s">
        <v>813</v>
      </c>
    </row>
    <row r="581" spans="1:6" x14ac:dyDescent="0.15">
      <c r="A581" t="s">
        <v>3854</v>
      </c>
      <c r="C581" t="s">
        <v>3145</v>
      </c>
      <c r="F581" t="s">
        <v>814</v>
      </c>
    </row>
    <row r="582" spans="1:6" x14ac:dyDescent="0.15">
      <c r="A582" t="s">
        <v>3855</v>
      </c>
      <c r="C582" t="s">
        <v>3146</v>
      </c>
      <c r="F582" t="s">
        <v>815</v>
      </c>
    </row>
    <row r="583" spans="1:6" x14ac:dyDescent="0.15">
      <c r="A583" t="s">
        <v>3856</v>
      </c>
      <c r="C583" t="s">
        <v>3147</v>
      </c>
      <c r="F583" t="s">
        <v>816</v>
      </c>
    </row>
    <row r="584" spans="1:6" x14ac:dyDescent="0.15">
      <c r="A584" t="s">
        <v>1511</v>
      </c>
      <c r="C584" t="s">
        <v>3148</v>
      </c>
      <c r="F584" t="s">
        <v>817</v>
      </c>
    </row>
    <row r="585" spans="1:6" x14ac:dyDescent="0.15">
      <c r="A585" t="s">
        <v>3857</v>
      </c>
      <c r="C585" t="s">
        <v>3149</v>
      </c>
      <c r="F585" t="s">
        <v>818</v>
      </c>
    </row>
    <row r="586" spans="1:6" x14ac:dyDescent="0.15">
      <c r="A586" t="s">
        <v>3858</v>
      </c>
      <c r="C586" t="s">
        <v>3150</v>
      </c>
      <c r="F586" t="s">
        <v>819</v>
      </c>
    </row>
    <row r="587" spans="1:6" x14ac:dyDescent="0.15">
      <c r="A587" t="s">
        <v>3859</v>
      </c>
      <c r="C587" t="s">
        <v>3151</v>
      </c>
      <c r="F587" t="s">
        <v>820</v>
      </c>
    </row>
    <row r="588" spans="1:6" x14ac:dyDescent="0.15">
      <c r="A588" t="s">
        <v>305</v>
      </c>
      <c r="C588" t="s">
        <v>3152</v>
      </c>
      <c r="F588" t="s">
        <v>821</v>
      </c>
    </row>
    <row r="589" spans="1:6" x14ac:dyDescent="0.15">
      <c r="A589" t="s">
        <v>3860</v>
      </c>
      <c r="C589" t="s">
        <v>3153</v>
      </c>
      <c r="F589" t="s">
        <v>822</v>
      </c>
    </row>
    <row r="590" spans="1:6" x14ac:dyDescent="0.15">
      <c r="A590" t="s">
        <v>3861</v>
      </c>
      <c r="C590" t="s">
        <v>3154</v>
      </c>
      <c r="F590" t="s">
        <v>823</v>
      </c>
    </row>
    <row r="591" spans="1:6" x14ac:dyDescent="0.15">
      <c r="A591" t="s">
        <v>108</v>
      </c>
      <c r="C591" t="s">
        <v>3155</v>
      </c>
      <c r="F591" t="s">
        <v>824</v>
      </c>
    </row>
    <row r="592" spans="1:6" x14ac:dyDescent="0.15">
      <c r="A592" t="s">
        <v>2206</v>
      </c>
      <c r="C592" t="s">
        <v>3156</v>
      </c>
      <c r="F592" t="s">
        <v>825</v>
      </c>
    </row>
    <row r="593" spans="1:6" x14ac:dyDescent="0.15">
      <c r="A593" t="s">
        <v>3862</v>
      </c>
      <c r="C593" t="s">
        <v>3157</v>
      </c>
      <c r="F593" t="s">
        <v>826</v>
      </c>
    </row>
    <row r="594" spans="1:6" x14ac:dyDescent="0.15">
      <c r="A594" t="s">
        <v>1654</v>
      </c>
      <c r="C594" t="s">
        <v>3158</v>
      </c>
      <c r="F594" t="s">
        <v>827</v>
      </c>
    </row>
    <row r="595" spans="1:6" x14ac:dyDescent="0.15">
      <c r="A595" t="s">
        <v>3863</v>
      </c>
      <c r="C595" t="s">
        <v>3159</v>
      </c>
      <c r="F595" t="s">
        <v>828</v>
      </c>
    </row>
    <row r="596" spans="1:6" x14ac:dyDescent="0.15">
      <c r="A596" t="s">
        <v>3864</v>
      </c>
      <c r="C596" t="s">
        <v>3160</v>
      </c>
      <c r="F596" t="s">
        <v>829</v>
      </c>
    </row>
    <row r="597" spans="1:6" x14ac:dyDescent="0.15">
      <c r="A597" t="s">
        <v>3865</v>
      </c>
      <c r="C597" t="s">
        <v>3161</v>
      </c>
      <c r="F597" t="s">
        <v>830</v>
      </c>
    </row>
    <row r="598" spans="1:6" x14ac:dyDescent="0.15">
      <c r="A598" t="s">
        <v>3866</v>
      </c>
      <c r="C598" t="s">
        <v>3162</v>
      </c>
      <c r="F598" t="s">
        <v>237</v>
      </c>
    </row>
    <row r="599" spans="1:6" x14ac:dyDescent="0.15">
      <c r="A599" t="s">
        <v>1565</v>
      </c>
      <c r="C599" t="s">
        <v>3163</v>
      </c>
      <c r="F599" t="s">
        <v>831</v>
      </c>
    </row>
    <row r="600" spans="1:6" x14ac:dyDescent="0.15">
      <c r="A600" t="s">
        <v>3867</v>
      </c>
      <c r="C600" t="s">
        <v>1114</v>
      </c>
      <c r="F600" t="s">
        <v>832</v>
      </c>
    </row>
    <row r="601" spans="1:6" x14ac:dyDescent="0.15">
      <c r="A601" t="s">
        <v>232</v>
      </c>
      <c r="C601" t="s">
        <v>3164</v>
      </c>
      <c r="F601" t="s">
        <v>833</v>
      </c>
    </row>
    <row r="602" spans="1:6" x14ac:dyDescent="0.15">
      <c r="A602" t="s">
        <v>2744</v>
      </c>
      <c r="C602" t="s">
        <v>3165</v>
      </c>
      <c r="F602" t="s">
        <v>834</v>
      </c>
    </row>
    <row r="603" spans="1:6" x14ac:dyDescent="0.15">
      <c r="A603" t="s">
        <v>3868</v>
      </c>
      <c r="C603" t="s">
        <v>3166</v>
      </c>
      <c r="F603" t="s">
        <v>835</v>
      </c>
    </row>
    <row r="604" spans="1:6" x14ac:dyDescent="0.15">
      <c r="A604" t="s">
        <v>3869</v>
      </c>
      <c r="C604" t="s">
        <v>3167</v>
      </c>
      <c r="F604" t="s">
        <v>836</v>
      </c>
    </row>
    <row r="605" spans="1:6" x14ac:dyDescent="0.15">
      <c r="A605" t="s">
        <v>112</v>
      </c>
      <c r="C605" t="s">
        <v>1553</v>
      </c>
      <c r="F605" t="s">
        <v>837</v>
      </c>
    </row>
    <row r="606" spans="1:6" x14ac:dyDescent="0.15">
      <c r="A606" t="s">
        <v>3870</v>
      </c>
      <c r="C606" t="s">
        <v>3168</v>
      </c>
      <c r="F606" t="s">
        <v>838</v>
      </c>
    </row>
    <row r="607" spans="1:6" x14ac:dyDescent="0.15">
      <c r="A607" t="s">
        <v>3871</v>
      </c>
      <c r="C607" t="s">
        <v>3169</v>
      </c>
      <c r="F607" t="s">
        <v>839</v>
      </c>
    </row>
    <row r="608" spans="1:6" x14ac:dyDescent="0.15">
      <c r="A608" t="s">
        <v>3872</v>
      </c>
      <c r="C608" t="s">
        <v>3170</v>
      </c>
      <c r="F608" t="s">
        <v>840</v>
      </c>
    </row>
    <row r="609" spans="1:6" x14ac:dyDescent="0.15">
      <c r="A609" t="s">
        <v>3873</v>
      </c>
      <c r="C609" t="s">
        <v>3171</v>
      </c>
      <c r="F609" t="s">
        <v>841</v>
      </c>
    </row>
    <row r="610" spans="1:6" x14ac:dyDescent="0.15">
      <c r="A610" t="s">
        <v>904</v>
      </c>
      <c r="C610" t="s">
        <v>3172</v>
      </c>
      <c r="F610" t="s">
        <v>842</v>
      </c>
    </row>
    <row r="611" spans="1:6" x14ac:dyDescent="0.15">
      <c r="A611" t="s">
        <v>227</v>
      </c>
      <c r="C611" t="s">
        <v>3173</v>
      </c>
      <c r="F611" t="s">
        <v>843</v>
      </c>
    </row>
    <row r="612" spans="1:6" x14ac:dyDescent="0.15">
      <c r="A612" t="s">
        <v>2812</v>
      </c>
      <c r="C612" t="s">
        <v>3174</v>
      </c>
      <c r="F612" t="s">
        <v>844</v>
      </c>
    </row>
    <row r="613" spans="1:6" x14ac:dyDescent="0.15">
      <c r="A613" t="s">
        <v>2100</v>
      </c>
      <c r="C613" t="s">
        <v>3175</v>
      </c>
      <c r="F613" t="s">
        <v>845</v>
      </c>
    </row>
    <row r="614" spans="1:6" x14ac:dyDescent="0.15">
      <c r="A614" t="s">
        <v>3874</v>
      </c>
      <c r="C614" t="s">
        <v>3176</v>
      </c>
      <c r="F614" t="s">
        <v>846</v>
      </c>
    </row>
    <row r="615" spans="1:6" x14ac:dyDescent="0.15">
      <c r="A615" t="s">
        <v>3875</v>
      </c>
      <c r="C615" t="s">
        <v>3177</v>
      </c>
      <c r="F615" t="s">
        <v>847</v>
      </c>
    </row>
    <row r="616" spans="1:6" x14ac:dyDescent="0.15">
      <c r="A616" t="s">
        <v>1189</v>
      </c>
      <c r="C616" t="s">
        <v>3178</v>
      </c>
      <c r="F616" t="s">
        <v>848</v>
      </c>
    </row>
    <row r="617" spans="1:6" x14ac:dyDescent="0.15">
      <c r="A617" t="s">
        <v>3876</v>
      </c>
      <c r="C617" t="s">
        <v>3179</v>
      </c>
      <c r="F617" t="s">
        <v>849</v>
      </c>
    </row>
    <row r="618" spans="1:6" x14ac:dyDescent="0.15">
      <c r="A618" t="s">
        <v>3877</v>
      </c>
      <c r="C618" t="s">
        <v>3180</v>
      </c>
      <c r="F618" t="s">
        <v>850</v>
      </c>
    </row>
    <row r="619" spans="1:6" x14ac:dyDescent="0.15">
      <c r="A619" t="s">
        <v>3878</v>
      </c>
      <c r="C619" t="s">
        <v>3181</v>
      </c>
      <c r="F619" t="s">
        <v>75</v>
      </c>
    </row>
    <row r="620" spans="1:6" x14ac:dyDescent="0.15">
      <c r="A620" t="s">
        <v>141</v>
      </c>
      <c r="C620" t="s">
        <v>3182</v>
      </c>
      <c r="F620" t="s">
        <v>851</v>
      </c>
    </row>
    <row r="621" spans="1:6" x14ac:dyDescent="0.15">
      <c r="A621" t="s">
        <v>2071</v>
      </c>
      <c r="C621" t="s">
        <v>3183</v>
      </c>
      <c r="F621" t="s">
        <v>852</v>
      </c>
    </row>
    <row r="622" spans="1:6" x14ac:dyDescent="0.15">
      <c r="A622" t="s">
        <v>3879</v>
      </c>
      <c r="C622" t="s">
        <v>3184</v>
      </c>
      <c r="F622" t="s">
        <v>853</v>
      </c>
    </row>
    <row r="623" spans="1:6" x14ac:dyDescent="0.15">
      <c r="A623" t="s">
        <v>3880</v>
      </c>
      <c r="C623" t="s">
        <v>3185</v>
      </c>
      <c r="F623" t="s">
        <v>854</v>
      </c>
    </row>
    <row r="624" spans="1:6" x14ac:dyDescent="0.15">
      <c r="A624" t="s">
        <v>3881</v>
      </c>
      <c r="C624" t="s">
        <v>3186</v>
      </c>
      <c r="F624" t="s">
        <v>855</v>
      </c>
    </row>
    <row r="625" spans="1:6" x14ac:dyDescent="0.15">
      <c r="A625" t="s">
        <v>3882</v>
      </c>
      <c r="C625" t="s">
        <v>3187</v>
      </c>
      <c r="F625" t="s">
        <v>856</v>
      </c>
    </row>
    <row r="626" spans="1:6" x14ac:dyDescent="0.15">
      <c r="A626" t="s">
        <v>1290</v>
      </c>
      <c r="C626" t="s">
        <v>3188</v>
      </c>
      <c r="F626" t="s">
        <v>857</v>
      </c>
    </row>
    <row r="627" spans="1:6" x14ac:dyDescent="0.15">
      <c r="A627" t="s">
        <v>3883</v>
      </c>
      <c r="C627" t="s">
        <v>3189</v>
      </c>
      <c r="F627" t="s">
        <v>858</v>
      </c>
    </row>
    <row r="628" spans="1:6" x14ac:dyDescent="0.15">
      <c r="A628" t="s">
        <v>3884</v>
      </c>
      <c r="C628" t="s">
        <v>3190</v>
      </c>
      <c r="F628" t="s">
        <v>859</v>
      </c>
    </row>
    <row r="629" spans="1:6" x14ac:dyDescent="0.15">
      <c r="A629" t="s">
        <v>3885</v>
      </c>
      <c r="C629" t="s">
        <v>3191</v>
      </c>
      <c r="F629" t="s">
        <v>860</v>
      </c>
    </row>
    <row r="630" spans="1:6" x14ac:dyDescent="0.15">
      <c r="A630" t="s">
        <v>3886</v>
      </c>
      <c r="C630" t="s">
        <v>966</v>
      </c>
      <c r="F630" t="s">
        <v>861</v>
      </c>
    </row>
    <row r="631" spans="1:6" x14ac:dyDescent="0.15">
      <c r="A631" t="s">
        <v>195</v>
      </c>
      <c r="C631" t="s">
        <v>3192</v>
      </c>
      <c r="F631" t="s">
        <v>1119</v>
      </c>
    </row>
    <row r="632" spans="1:6" x14ac:dyDescent="0.15">
      <c r="A632" t="s">
        <v>92</v>
      </c>
      <c r="C632" t="s">
        <v>3193</v>
      </c>
      <c r="F632" t="s">
        <v>1120</v>
      </c>
    </row>
    <row r="633" spans="1:6" x14ac:dyDescent="0.15">
      <c r="A633" t="s">
        <v>146</v>
      </c>
      <c r="C633" t="s">
        <v>3194</v>
      </c>
      <c r="F633" t="s">
        <v>1121</v>
      </c>
    </row>
    <row r="634" spans="1:6" x14ac:dyDescent="0.15">
      <c r="A634" t="s">
        <v>3887</v>
      </c>
      <c r="C634" t="s">
        <v>3195</v>
      </c>
      <c r="F634" t="s">
        <v>1122</v>
      </c>
    </row>
    <row r="635" spans="1:6" x14ac:dyDescent="0.15">
      <c r="A635" t="s">
        <v>3888</v>
      </c>
      <c r="C635" t="s">
        <v>3196</v>
      </c>
      <c r="F635" t="s">
        <v>1123</v>
      </c>
    </row>
    <row r="636" spans="1:6" x14ac:dyDescent="0.15">
      <c r="A636" t="s">
        <v>366</v>
      </c>
      <c r="C636" t="s">
        <v>3197</v>
      </c>
      <c r="F636" t="s">
        <v>1124</v>
      </c>
    </row>
    <row r="637" spans="1:6" x14ac:dyDescent="0.15">
      <c r="A637" t="s">
        <v>3889</v>
      </c>
      <c r="C637" t="s">
        <v>360</v>
      </c>
      <c r="F637" t="s">
        <v>1125</v>
      </c>
    </row>
    <row r="638" spans="1:6" x14ac:dyDescent="0.15">
      <c r="A638" t="s">
        <v>3890</v>
      </c>
      <c r="C638" t="s">
        <v>3198</v>
      </c>
      <c r="F638" t="s">
        <v>1126</v>
      </c>
    </row>
    <row r="639" spans="1:6" x14ac:dyDescent="0.15">
      <c r="A639" t="s">
        <v>3891</v>
      </c>
      <c r="C639" t="s">
        <v>3199</v>
      </c>
      <c r="F639" t="s">
        <v>50</v>
      </c>
    </row>
    <row r="640" spans="1:6" x14ac:dyDescent="0.15">
      <c r="A640" t="s">
        <v>3892</v>
      </c>
      <c r="C640" t="s">
        <v>3200</v>
      </c>
      <c r="F640" t="s">
        <v>1127</v>
      </c>
    </row>
    <row r="641" spans="1:6" x14ac:dyDescent="0.15">
      <c r="A641" t="s">
        <v>3893</v>
      </c>
      <c r="C641" t="s">
        <v>1025</v>
      </c>
      <c r="F641" t="s">
        <v>1128</v>
      </c>
    </row>
    <row r="642" spans="1:6" x14ac:dyDescent="0.15">
      <c r="A642" t="s">
        <v>3894</v>
      </c>
      <c r="C642" t="s">
        <v>3201</v>
      </c>
      <c r="F642" t="s">
        <v>80</v>
      </c>
    </row>
    <row r="643" spans="1:6" x14ac:dyDescent="0.15">
      <c r="A643" t="s">
        <v>1231</v>
      </c>
      <c r="C643" t="s">
        <v>3202</v>
      </c>
      <c r="F643" t="s">
        <v>1129</v>
      </c>
    </row>
    <row r="644" spans="1:6" x14ac:dyDescent="0.15">
      <c r="A644" t="s">
        <v>115</v>
      </c>
      <c r="C644" t="s">
        <v>3203</v>
      </c>
      <c r="F644" t="s">
        <v>45</v>
      </c>
    </row>
    <row r="645" spans="1:6" x14ac:dyDescent="0.15">
      <c r="A645" t="s">
        <v>2384</v>
      </c>
      <c r="C645" t="s">
        <v>3204</v>
      </c>
      <c r="F645" t="s">
        <v>1130</v>
      </c>
    </row>
    <row r="646" spans="1:6" x14ac:dyDescent="0.15">
      <c r="A646" t="s">
        <v>3895</v>
      </c>
      <c r="C646" t="s">
        <v>3205</v>
      </c>
      <c r="F646" t="s">
        <v>1131</v>
      </c>
    </row>
    <row r="647" spans="1:6" x14ac:dyDescent="0.15">
      <c r="A647" t="s">
        <v>3896</v>
      </c>
      <c r="C647" t="s">
        <v>3206</v>
      </c>
      <c r="F647" t="s">
        <v>1132</v>
      </c>
    </row>
    <row r="648" spans="1:6" x14ac:dyDescent="0.15">
      <c r="A648" t="s">
        <v>14</v>
      </c>
      <c r="C648" t="s">
        <v>3207</v>
      </c>
      <c r="F648" t="s">
        <v>1133</v>
      </c>
    </row>
    <row r="649" spans="1:6" x14ac:dyDescent="0.15">
      <c r="A649" t="s">
        <v>90</v>
      </c>
      <c r="C649" t="s">
        <v>3208</v>
      </c>
      <c r="F649" t="s">
        <v>1134</v>
      </c>
    </row>
    <row r="650" spans="1:6" x14ac:dyDescent="0.15">
      <c r="A650" t="s">
        <v>3897</v>
      </c>
      <c r="C650" t="s">
        <v>3209</v>
      </c>
      <c r="F650" t="s">
        <v>1135</v>
      </c>
    </row>
    <row r="651" spans="1:6" x14ac:dyDescent="0.15">
      <c r="A651" t="s">
        <v>3898</v>
      </c>
      <c r="C651" t="s">
        <v>3210</v>
      </c>
      <c r="F651" t="s">
        <v>81</v>
      </c>
    </row>
    <row r="652" spans="1:6" x14ac:dyDescent="0.15">
      <c r="A652" t="s">
        <v>168</v>
      </c>
      <c r="C652" t="s">
        <v>3211</v>
      </c>
      <c r="F652" t="s">
        <v>1136</v>
      </c>
    </row>
    <row r="653" spans="1:6" x14ac:dyDescent="0.15">
      <c r="A653" t="s">
        <v>3899</v>
      </c>
      <c r="C653" t="s">
        <v>3212</v>
      </c>
      <c r="F653" t="s">
        <v>1137</v>
      </c>
    </row>
    <row r="654" spans="1:6" x14ac:dyDescent="0.15">
      <c r="A654" t="s">
        <v>3900</v>
      </c>
      <c r="C654" t="s">
        <v>3213</v>
      </c>
      <c r="F654" t="s">
        <v>1138</v>
      </c>
    </row>
    <row r="655" spans="1:6" x14ac:dyDescent="0.15">
      <c r="A655" t="s">
        <v>3901</v>
      </c>
      <c r="C655" t="s">
        <v>3214</v>
      </c>
      <c r="F655" t="s">
        <v>1139</v>
      </c>
    </row>
    <row r="656" spans="1:6" x14ac:dyDescent="0.15">
      <c r="A656" t="s">
        <v>748</v>
      </c>
      <c r="C656" t="s">
        <v>3215</v>
      </c>
      <c r="F656" t="s">
        <v>1140</v>
      </c>
    </row>
    <row r="657" spans="1:6" x14ac:dyDescent="0.15">
      <c r="A657" t="s">
        <v>3902</v>
      </c>
      <c r="C657" t="s">
        <v>3216</v>
      </c>
      <c r="F657" t="s">
        <v>1141</v>
      </c>
    </row>
    <row r="658" spans="1:6" x14ac:dyDescent="0.15">
      <c r="A658" t="s">
        <v>3903</v>
      </c>
      <c r="C658" t="s">
        <v>3217</v>
      </c>
      <c r="F658" t="s">
        <v>1142</v>
      </c>
    </row>
    <row r="659" spans="1:6" x14ac:dyDescent="0.15">
      <c r="A659" t="s">
        <v>3904</v>
      </c>
      <c r="C659" t="s">
        <v>3218</v>
      </c>
      <c r="F659" t="s">
        <v>1143</v>
      </c>
    </row>
    <row r="660" spans="1:6" x14ac:dyDescent="0.15">
      <c r="A660" t="s">
        <v>114</v>
      </c>
      <c r="C660" t="s">
        <v>3219</v>
      </c>
      <c r="F660" t="s">
        <v>1144</v>
      </c>
    </row>
    <row r="661" spans="1:6" x14ac:dyDescent="0.15">
      <c r="A661" t="s">
        <v>17</v>
      </c>
      <c r="C661" t="s">
        <v>3220</v>
      </c>
      <c r="F661" t="s">
        <v>1145</v>
      </c>
    </row>
    <row r="662" spans="1:6" x14ac:dyDescent="0.15">
      <c r="A662" t="s">
        <v>2451</v>
      </c>
      <c r="C662" t="s">
        <v>3221</v>
      </c>
      <c r="F662" t="s">
        <v>1146</v>
      </c>
    </row>
    <row r="663" spans="1:6" x14ac:dyDescent="0.15">
      <c r="A663" t="s">
        <v>3905</v>
      </c>
      <c r="C663" t="s">
        <v>3222</v>
      </c>
      <c r="F663" t="s">
        <v>1147</v>
      </c>
    </row>
    <row r="664" spans="1:6" x14ac:dyDescent="0.15">
      <c r="A664" t="s">
        <v>3906</v>
      </c>
      <c r="C664" t="s">
        <v>3223</v>
      </c>
      <c r="F664" t="s">
        <v>1148</v>
      </c>
    </row>
    <row r="665" spans="1:6" x14ac:dyDescent="0.15">
      <c r="A665" t="s">
        <v>2707</v>
      </c>
      <c r="C665" t="s">
        <v>3224</v>
      </c>
      <c r="F665" t="s">
        <v>1149</v>
      </c>
    </row>
    <row r="666" spans="1:6" x14ac:dyDescent="0.15">
      <c r="A666" t="s">
        <v>25</v>
      </c>
      <c r="C666" t="s">
        <v>3225</v>
      </c>
      <c r="F666" t="s">
        <v>1150</v>
      </c>
    </row>
    <row r="667" spans="1:6" x14ac:dyDescent="0.15">
      <c r="A667" t="s">
        <v>3907</v>
      </c>
      <c r="C667" t="s">
        <v>3226</v>
      </c>
      <c r="F667" t="s">
        <v>1151</v>
      </c>
    </row>
    <row r="668" spans="1:6" x14ac:dyDescent="0.15">
      <c r="A668" t="s">
        <v>3908</v>
      </c>
      <c r="C668" t="s">
        <v>3227</v>
      </c>
      <c r="F668" t="s">
        <v>1152</v>
      </c>
    </row>
    <row r="669" spans="1:6" x14ac:dyDescent="0.15">
      <c r="A669" t="s">
        <v>3909</v>
      </c>
      <c r="C669" t="s">
        <v>3228</v>
      </c>
      <c r="F669" t="s">
        <v>1153</v>
      </c>
    </row>
    <row r="670" spans="1:6" x14ac:dyDescent="0.15">
      <c r="A670" t="s">
        <v>3910</v>
      </c>
      <c r="C670" t="s">
        <v>3229</v>
      </c>
      <c r="F670" t="s">
        <v>1154</v>
      </c>
    </row>
    <row r="671" spans="1:6" x14ac:dyDescent="0.15">
      <c r="A671" t="s">
        <v>1546</v>
      </c>
      <c r="C671" t="s">
        <v>3230</v>
      </c>
      <c r="F671" t="s">
        <v>43</v>
      </c>
    </row>
    <row r="672" spans="1:6" x14ac:dyDescent="0.15">
      <c r="A672" t="s">
        <v>3911</v>
      </c>
      <c r="C672" t="s">
        <v>3231</v>
      </c>
      <c r="F672" t="s">
        <v>1155</v>
      </c>
    </row>
    <row r="673" spans="1:6" x14ac:dyDescent="0.15">
      <c r="A673" t="s">
        <v>87</v>
      </c>
      <c r="C673" t="s">
        <v>3232</v>
      </c>
      <c r="F673" t="s">
        <v>1156</v>
      </c>
    </row>
    <row r="674" spans="1:6" x14ac:dyDescent="0.15">
      <c r="A674" t="s">
        <v>3912</v>
      </c>
      <c r="C674" t="s">
        <v>3233</v>
      </c>
      <c r="F674" t="s">
        <v>1157</v>
      </c>
    </row>
    <row r="675" spans="1:6" x14ac:dyDescent="0.15">
      <c r="A675" t="s">
        <v>139</v>
      </c>
      <c r="C675" t="s">
        <v>3234</v>
      </c>
      <c r="F675" t="s">
        <v>881</v>
      </c>
    </row>
    <row r="676" spans="1:6" x14ac:dyDescent="0.15">
      <c r="A676" t="s">
        <v>671</v>
      </c>
      <c r="C676" t="s">
        <v>3235</v>
      </c>
      <c r="F676" t="s">
        <v>1158</v>
      </c>
    </row>
    <row r="677" spans="1:6" x14ac:dyDescent="0.15">
      <c r="A677" t="s">
        <v>2455</v>
      </c>
      <c r="C677" t="s">
        <v>3236</v>
      </c>
      <c r="F677" t="s">
        <v>1159</v>
      </c>
    </row>
    <row r="678" spans="1:6" x14ac:dyDescent="0.15">
      <c r="A678" t="s">
        <v>3913</v>
      </c>
      <c r="C678" t="s">
        <v>3237</v>
      </c>
      <c r="F678" t="s">
        <v>1160</v>
      </c>
    </row>
    <row r="679" spans="1:6" x14ac:dyDescent="0.15">
      <c r="A679" t="s">
        <v>1243</v>
      </c>
      <c r="C679" t="s">
        <v>3238</v>
      </c>
      <c r="F679" t="s">
        <v>1161</v>
      </c>
    </row>
    <row r="680" spans="1:6" x14ac:dyDescent="0.15">
      <c r="A680" t="s">
        <v>49</v>
      </c>
      <c r="C680" t="s">
        <v>3239</v>
      </c>
      <c r="F680" t="s">
        <v>1162</v>
      </c>
    </row>
    <row r="681" spans="1:6" x14ac:dyDescent="0.15">
      <c r="A681" t="s">
        <v>3914</v>
      </c>
      <c r="C681" t="s">
        <v>3240</v>
      </c>
      <c r="F681" t="s">
        <v>1163</v>
      </c>
    </row>
    <row r="682" spans="1:6" x14ac:dyDescent="0.15">
      <c r="A682" t="s">
        <v>644</v>
      </c>
      <c r="C682" t="s">
        <v>3241</v>
      </c>
      <c r="F682" t="s">
        <v>1164</v>
      </c>
    </row>
    <row r="683" spans="1:6" x14ac:dyDescent="0.15">
      <c r="A683" t="s">
        <v>3915</v>
      </c>
      <c r="C683" t="s">
        <v>3242</v>
      </c>
      <c r="F683" t="s">
        <v>1165</v>
      </c>
    </row>
    <row r="684" spans="1:6" x14ac:dyDescent="0.15">
      <c r="A684" t="s">
        <v>3916</v>
      </c>
      <c r="C684" t="s">
        <v>3243</v>
      </c>
      <c r="F684" t="s">
        <v>1166</v>
      </c>
    </row>
    <row r="685" spans="1:6" x14ac:dyDescent="0.15">
      <c r="A685" t="s">
        <v>133</v>
      </c>
      <c r="C685" t="s">
        <v>3244</v>
      </c>
      <c r="F685" t="s">
        <v>1167</v>
      </c>
    </row>
    <row r="686" spans="1:6" x14ac:dyDescent="0.15">
      <c r="A686" t="s">
        <v>3917</v>
      </c>
      <c r="C686" t="s">
        <v>3245</v>
      </c>
      <c r="F686" t="s">
        <v>70</v>
      </c>
    </row>
    <row r="687" spans="1:6" x14ac:dyDescent="0.15">
      <c r="A687" t="s">
        <v>3918</v>
      </c>
      <c r="C687" t="s">
        <v>3246</v>
      </c>
      <c r="F687" t="s">
        <v>1168</v>
      </c>
    </row>
    <row r="688" spans="1:6" x14ac:dyDescent="0.15">
      <c r="A688" t="s">
        <v>3919</v>
      </c>
      <c r="C688" t="s">
        <v>3247</v>
      </c>
      <c r="F688" t="s">
        <v>1169</v>
      </c>
    </row>
    <row r="689" spans="1:6" x14ac:dyDescent="0.15">
      <c r="A689" t="s">
        <v>1200</v>
      </c>
      <c r="C689" t="s">
        <v>3248</v>
      </c>
      <c r="F689" t="s">
        <v>1170</v>
      </c>
    </row>
    <row r="690" spans="1:6" x14ac:dyDescent="0.15">
      <c r="A690" t="s">
        <v>3920</v>
      </c>
      <c r="C690" t="s">
        <v>3249</v>
      </c>
      <c r="F690" t="s">
        <v>1171</v>
      </c>
    </row>
    <row r="691" spans="1:6" x14ac:dyDescent="0.15">
      <c r="A691" t="s">
        <v>3921</v>
      </c>
      <c r="C691" t="s">
        <v>3250</v>
      </c>
      <c r="F691" t="s">
        <v>1172</v>
      </c>
    </row>
    <row r="692" spans="1:6" x14ac:dyDescent="0.15">
      <c r="A692" t="s">
        <v>3922</v>
      </c>
      <c r="C692" t="s">
        <v>3251</v>
      </c>
      <c r="F692" t="s">
        <v>1173</v>
      </c>
    </row>
    <row r="693" spans="1:6" x14ac:dyDescent="0.15">
      <c r="A693" t="s">
        <v>3923</v>
      </c>
      <c r="C693" t="s">
        <v>3252</v>
      </c>
      <c r="F693" t="s">
        <v>1174</v>
      </c>
    </row>
    <row r="694" spans="1:6" x14ac:dyDescent="0.15">
      <c r="A694" t="s">
        <v>2351</v>
      </c>
      <c r="C694" t="s">
        <v>3253</v>
      </c>
      <c r="F694" t="s">
        <v>1175</v>
      </c>
    </row>
    <row r="695" spans="1:6" x14ac:dyDescent="0.15">
      <c r="A695" t="s">
        <v>3924</v>
      </c>
      <c r="C695" t="s">
        <v>3254</v>
      </c>
      <c r="F695" t="s">
        <v>1176</v>
      </c>
    </row>
    <row r="696" spans="1:6" x14ac:dyDescent="0.15">
      <c r="A696" t="s">
        <v>3925</v>
      </c>
      <c r="C696" t="s">
        <v>3255</v>
      </c>
      <c r="F696" t="s">
        <v>1177</v>
      </c>
    </row>
    <row r="697" spans="1:6" x14ac:dyDescent="0.15">
      <c r="A697" t="s">
        <v>3926</v>
      </c>
      <c r="C697" t="s">
        <v>3256</v>
      </c>
      <c r="F697" t="s">
        <v>1178</v>
      </c>
    </row>
    <row r="698" spans="1:6" x14ac:dyDescent="0.15">
      <c r="A698" t="s">
        <v>3927</v>
      </c>
      <c r="C698" t="s">
        <v>3257</v>
      </c>
      <c r="F698" t="s">
        <v>1179</v>
      </c>
    </row>
    <row r="699" spans="1:6" x14ac:dyDescent="0.15">
      <c r="A699" t="s">
        <v>3928</v>
      </c>
      <c r="C699" t="s">
        <v>3258</v>
      </c>
      <c r="F699" t="s">
        <v>1180</v>
      </c>
    </row>
    <row r="700" spans="1:6" x14ac:dyDescent="0.15">
      <c r="A700" t="s">
        <v>12</v>
      </c>
      <c r="C700" t="s">
        <v>3259</v>
      </c>
      <c r="F700" t="s">
        <v>1181</v>
      </c>
    </row>
    <row r="701" spans="1:6" x14ac:dyDescent="0.15">
      <c r="A701" t="s">
        <v>3929</v>
      </c>
      <c r="C701" t="s">
        <v>3260</v>
      </c>
      <c r="F701" t="s">
        <v>1182</v>
      </c>
    </row>
    <row r="702" spans="1:6" x14ac:dyDescent="0.15">
      <c r="A702" t="s">
        <v>82</v>
      </c>
      <c r="C702" t="s">
        <v>3261</v>
      </c>
      <c r="F702" t="s">
        <v>1183</v>
      </c>
    </row>
    <row r="703" spans="1:6" x14ac:dyDescent="0.15">
      <c r="A703" t="s">
        <v>3930</v>
      </c>
      <c r="C703" t="s">
        <v>3262</v>
      </c>
      <c r="F703" t="s">
        <v>1184</v>
      </c>
    </row>
    <row r="704" spans="1:6" x14ac:dyDescent="0.15">
      <c r="A704" t="s">
        <v>1383</v>
      </c>
      <c r="C704" t="s">
        <v>3263</v>
      </c>
      <c r="F704" t="s">
        <v>1185</v>
      </c>
    </row>
    <row r="705" spans="1:6" x14ac:dyDescent="0.15">
      <c r="A705" t="s">
        <v>433</v>
      </c>
      <c r="C705" t="s">
        <v>3264</v>
      </c>
      <c r="F705" t="s">
        <v>1186</v>
      </c>
    </row>
    <row r="706" spans="1:6" x14ac:dyDescent="0.15">
      <c r="A706" t="s">
        <v>3931</v>
      </c>
      <c r="C706" t="s">
        <v>3265</v>
      </c>
      <c r="F706" t="s">
        <v>1187</v>
      </c>
    </row>
    <row r="707" spans="1:6" x14ac:dyDescent="0.15">
      <c r="A707" t="s">
        <v>3932</v>
      </c>
      <c r="C707" t="s">
        <v>3266</v>
      </c>
      <c r="F707" t="s">
        <v>1188</v>
      </c>
    </row>
    <row r="708" spans="1:6" x14ac:dyDescent="0.15">
      <c r="A708" t="s">
        <v>154</v>
      </c>
      <c r="C708" t="s">
        <v>3267</v>
      </c>
      <c r="F708" t="s">
        <v>1189</v>
      </c>
    </row>
    <row r="709" spans="1:6" x14ac:dyDescent="0.15">
      <c r="A709" t="s">
        <v>51</v>
      </c>
      <c r="C709" t="s">
        <v>958</v>
      </c>
      <c r="F709" t="s">
        <v>1190</v>
      </c>
    </row>
    <row r="710" spans="1:6" x14ac:dyDescent="0.15">
      <c r="A710" t="s">
        <v>3933</v>
      </c>
      <c r="C710" t="s">
        <v>3268</v>
      </c>
      <c r="F710" t="s">
        <v>954</v>
      </c>
    </row>
    <row r="711" spans="1:6" x14ac:dyDescent="0.15">
      <c r="A711" t="s">
        <v>2328</v>
      </c>
      <c r="C711" t="s">
        <v>1575</v>
      </c>
      <c r="F711" t="s">
        <v>1191</v>
      </c>
    </row>
    <row r="712" spans="1:6" x14ac:dyDescent="0.15">
      <c r="A712" t="s">
        <v>3934</v>
      </c>
      <c r="C712" t="s">
        <v>3269</v>
      </c>
      <c r="F712" t="s">
        <v>1192</v>
      </c>
    </row>
    <row r="713" spans="1:6" x14ac:dyDescent="0.15">
      <c r="A713" t="s">
        <v>3935</v>
      </c>
      <c r="C713" t="s">
        <v>3270</v>
      </c>
      <c r="F713" t="s">
        <v>1193</v>
      </c>
    </row>
    <row r="714" spans="1:6" x14ac:dyDescent="0.15">
      <c r="A714" t="s">
        <v>3936</v>
      </c>
      <c r="C714" t="s">
        <v>939</v>
      </c>
      <c r="F714" t="s">
        <v>1194</v>
      </c>
    </row>
    <row r="715" spans="1:6" x14ac:dyDescent="0.15">
      <c r="A715" t="s">
        <v>3937</v>
      </c>
      <c r="C715" t="s">
        <v>3271</v>
      </c>
      <c r="F715" t="s">
        <v>1195</v>
      </c>
    </row>
    <row r="716" spans="1:6" x14ac:dyDescent="0.15">
      <c r="A716" t="s">
        <v>3938</v>
      </c>
      <c r="C716" t="s">
        <v>3272</v>
      </c>
      <c r="F716" t="s">
        <v>1196</v>
      </c>
    </row>
    <row r="717" spans="1:6" x14ac:dyDescent="0.15">
      <c r="A717" t="s">
        <v>3939</v>
      </c>
      <c r="C717" t="s">
        <v>3273</v>
      </c>
      <c r="F717" t="s">
        <v>1197</v>
      </c>
    </row>
    <row r="718" spans="1:6" x14ac:dyDescent="0.15">
      <c r="A718" t="s">
        <v>136</v>
      </c>
      <c r="C718" t="s">
        <v>3274</v>
      </c>
      <c r="F718" t="s">
        <v>1198</v>
      </c>
    </row>
    <row r="719" spans="1:6" x14ac:dyDescent="0.15">
      <c r="A719" t="s">
        <v>3940</v>
      </c>
      <c r="C719" t="s">
        <v>3275</v>
      </c>
      <c r="F719" t="s">
        <v>1199</v>
      </c>
    </row>
    <row r="720" spans="1:6" x14ac:dyDescent="0.15">
      <c r="A720" t="s">
        <v>3941</v>
      </c>
      <c r="C720" t="s">
        <v>3276</v>
      </c>
      <c r="F720" t="s">
        <v>1200</v>
      </c>
    </row>
    <row r="721" spans="1:6" x14ac:dyDescent="0.15">
      <c r="A721" t="s">
        <v>3942</v>
      </c>
      <c r="C721" t="s">
        <v>3277</v>
      </c>
      <c r="F721" t="s">
        <v>1201</v>
      </c>
    </row>
    <row r="722" spans="1:6" x14ac:dyDescent="0.15">
      <c r="A722" t="s">
        <v>23</v>
      </c>
      <c r="C722" t="s">
        <v>3278</v>
      </c>
      <c r="F722" t="s">
        <v>1202</v>
      </c>
    </row>
    <row r="723" spans="1:6" x14ac:dyDescent="0.15">
      <c r="A723" t="s">
        <v>3943</v>
      </c>
      <c r="C723" t="s">
        <v>3279</v>
      </c>
      <c r="F723" t="s">
        <v>1203</v>
      </c>
    </row>
    <row r="724" spans="1:6" x14ac:dyDescent="0.15">
      <c r="A724" t="s">
        <v>3944</v>
      </c>
      <c r="C724" t="s">
        <v>3280</v>
      </c>
      <c r="F724" t="s">
        <v>1204</v>
      </c>
    </row>
    <row r="725" spans="1:6" x14ac:dyDescent="0.15">
      <c r="A725" t="s">
        <v>118</v>
      </c>
      <c r="C725" t="s">
        <v>3281</v>
      </c>
      <c r="F725" t="s">
        <v>1205</v>
      </c>
    </row>
    <row r="726" spans="1:6" x14ac:dyDescent="0.15">
      <c r="A726" t="s">
        <v>1839</v>
      </c>
      <c r="C726" t="s">
        <v>3282</v>
      </c>
      <c r="F726" t="s">
        <v>1206</v>
      </c>
    </row>
    <row r="727" spans="1:6" x14ac:dyDescent="0.15">
      <c r="A727" t="s">
        <v>3945</v>
      </c>
      <c r="C727" t="s">
        <v>3283</v>
      </c>
      <c r="F727" t="s">
        <v>1207</v>
      </c>
    </row>
    <row r="728" spans="1:6" x14ac:dyDescent="0.15">
      <c r="A728" t="s">
        <v>3946</v>
      </c>
      <c r="C728" t="s">
        <v>3284</v>
      </c>
      <c r="F728" t="s">
        <v>1208</v>
      </c>
    </row>
    <row r="729" spans="1:6" x14ac:dyDescent="0.15">
      <c r="A729" t="s">
        <v>3947</v>
      </c>
      <c r="C729" t="s">
        <v>3285</v>
      </c>
      <c r="F729" t="s">
        <v>1209</v>
      </c>
    </row>
    <row r="730" spans="1:6" x14ac:dyDescent="0.15">
      <c r="A730" t="s">
        <v>3948</v>
      </c>
      <c r="C730" t="s">
        <v>3286</v>
      </c>
      <c r="F730" t="s">
        <v>1210</v>
      </c>
    </row>
    <row r="731" spans="1:6" x14ac:dyDescent="0.15">
      <c r="A731" t="s">
        <v>1588</v>
      </c>
      <c r="C731" t="s">
        <v>3287</v>
      </c>
      <c r="F731" t="s">
        <v>1211</v>
      </c>
    </row>
    <row r="732" spans="1:6" x14ac:dyDescent="0.15">
      <c r="A732" t="s">
        <v>3949</v>
      </c>
      <c r="C732" t="s">
        <v>3288</v>
      </c>
      <c r="F732" t="s">
        <v>1212</v>
      </c>
    </row>
    <row r="733" spans="1:6" x14ac:dyDescent="0.15">
      <c r="A733" t="s">
        <v>3950</v>
      </c>
      <c r="C733" t="s">
        <v>3289</v>
      </c>
      <c r="F733" t="s">
        <v>1213</v>
      </c>
    </row>
    <row r="734" spans="1:6" x14ac:dyDescent="0.15">
      <c r="A734" t="s">
        <v>3951</v>
      </c>
      <c r="C734" t="s">
        <v>3290</v>
      </c>
      <c r="F734" t="s">
        <v>1214</v>
      </c>
    </row>
    <row r="735" spans="1:6" x14ac:dyDescent="0.15">
      <c r="A735" t="s">
        <v>70</v>
      </c>
      <c r="C735" t="s">
        <v>3291</v>
      </c>
      <c r="F735" t="s">
        <v>120</v>
      </c>
    </row>
    <row r="736" spans="1:6" x14ac:dyDescent="0.15">
      <c r="A736" t="s">
        <v>3952</v>
      </c>
      <c r="C736" t="s">
        <v>3292</v>
      </c>
      <c r="F736" t="s">
        <v>1215</v>
      </c>
    </row>
    <row r="737" spans="1:6" x14ac:dyDescent="0.15">
      <c r="A737" t="s">
        <v>1685</v>
      </c>
      <c r="C737" t="s">
        <v>3293</v>
      </c>
      <c r="F737" t="s">
        <v>1216</v>
      </c>
    </row>
    <row r="738" spans="1:6" x14ac:dyDescent="0.15">
      <c r="A738" t="s">
        <v>3953</v>
      </c>
      <c r="C738" t="s">
        <v>3294</v>
      </c>
      <c r="F738" t="s">
        <v>1217</v>
      </c>
    </row>
    <row r="739" spans="1:6" x14ac:dyDescent="0.15">
      <c r="A739" t="s">
        <v>3954</v>
      </c>
      <c r="C739" t="s">
        <v>3295</v>
      </c>
      <c r="F739" t="s">
        <v>1218</v>
      </c>
    </row>
    <row r="740" spans="1:6" x14ac:dyDescent="0.15">
      <c r="A740" t="s">
        <v>2775</v>
      </c>
      <c r="C740" t="s">
        <v>3296</v>
      </c>
      <c r="F740" t="s">
        <v>1219</v>
      </c>
    </row>
    <row r="741" spans="1:6" x14ac:dyDescent="0.15">
      <c r="A741" t="s">
        <v>3955</v>
      </c>
      <c r="C741" t="s">
        <v>979</v>
      </c>
      <c r="F741" t="s">
        <v>1220</v>
      </c>
    </row>
    <row r="742" spans="1:6" x14ac:dyDescent="0.15">
      <c r="A742" t="s">
        <v>478</v>
      </c>
      <c r="C742" t="s">
        <v>1030</v>
      </c>
      <c r="F742" t="s">
        <v>3</v>
      </c>
    </row>
    <row r="743" spans="1:6" x14ac:dyDescent="0.15">
      <c r="A743" t="s">
        <v>3956</v>
      </c>
      <c r="C743" t="s">
        <v>3297</v>
      </c>
      <c r="F743" t="s">
        <v>1221</v>
      </c>
    </row>
    <row r="744" spans="1:6" x14ac:dyDescent="0.15">
      <c r="A744" t="s">
        <v>3957</v>
      </c>
      <c r="C744" t="s">
        <v>3298</v>
      </c>
      <c r="F744" t="s">
        <v>1222</v>
      </c>
    </row>
    <row r="745" spans="1:6" x14ac:dyDescent="0.15">
      <c r="A745" t="s">
        <v>3958</v>
      </c>
      <c r="C745" t="s">
        <v>2695</v>
      </c>
      <c r="F745" t="s">
        <v>1223</v>
      </c>
    </row>
    <row r="746" spans="1:6" x14ac:dyDescent="0.15">
      <c r="A746" t="s">
        <v>3959</v>
      </c>
      <c r="C746" t="s">
        <v>940</v>
      </c>
      <c r="F746" t="s">
        <v>1224</v>
      </c>
    </row>
    <row r="747" spans="1:6" x14ac:dyDescent="0.15">
      <c r="A747" t="s">
        <v>3960</v>
      </c>
      <c r="C747" t="s">
        <v>3299</v>
      </c>
      <c r="F747" t="s">
        <v>1225</v>
      </c>
    </row>
    <row r="748" spans="1:6" x14ac:dyDescent="0.15">
      <c r="A748" t="s">
        <v>3961</v>
      </c>
      <c r="C748" t="s">
        <v>3300</v>
      </c>
      <c r="F748" t="s">
        <v>1226</v>
      </c>
    </row>
    <row r="749" spans="1:6" x14ac:dyDescent="0.15">
      <c r="A749" t="s">
        <v>3962</v>
      </c>
      <c r="C749" t="s">
        <v>3301</v>
      </c>
      <c r="F749" t="s">
        <v>1227</v>
      </c>
    </row>
    <row r="750" spans="1:6" x14ac:dyDescent="0.15">
      <c r="A750" t="s">
        <v>3963</v>
      </c>
      <c r="C750" t="s">
        <v>3302</v>
      </c>
      <c r="F750" t="s">
        <v>1228</v>
      </c>
    </row>
    <row r="751" spans="1:6" x14ac:dyDescent="0.15">
      <c r="A751" t="s">
        <v>3964</v>
      </c>
      <c r="C751" t="s">
        <v>3303</v>
      </c>
      <c r="F751" t="s">
        <v>1229</v>
      </c>
    </row>
    <row r="752" spans="1:6" x14ac:dyDescent="0.15">
      <c r="A752" t="s">
        <v>3965</v>
      </c>
      <c r="C752" t="s">
        <v>3304</v>
      </c>
      <c r="F752" t="s">
        <v>1230</v>
      </c>
    </row>
    <row r="753" spans="1:6" x14ac:dyDescent="0.15">
      <c r="A753" t="s">
        <v>910</v>
      </c>
      <c r="C753" t="s">
        <v>3305</v>
      </c>
      <c r="F753" t="s">
        <v>1231</v>
      </c>
    </row>
    <row r="754" spans="1:6" x14ac:dyDescent="0.15">
      <c r="A754" t="s">
        <v>3966</v>
      </c>
      <c r="C754" t="s">
        <v>3306</v>
      </c>
      <c r="F754" t="s">
        <v>1232</v>
      </c>
    </row>
    <row r="755" spans="1:6" x14ac:dyDescent="0.15">
      <c r="A755" t="s">
        <v>3967</v>
      </c>
      <c r="C755" t="s">
        <v>3307</v>
      </c>
      <c r="F755" t="s">
        <v>1233</v>
      </c>
    </row>
    <row r="756" spans="1:6" x14ac:dyDescent="0.15">
      <c r="A756" t="s">
        <v>3968</v>
      </c>
      <c r="C756" t="s">
        <v>3308</v>
      </c>
      <c r="F756" t="s">
        <v>1234</v>
      </c>
    </row>
    <row r="757" spans="1:6" x14ac:dyDescent="0.15">
      <c r="A757" t="s">
        <v>3969</v>
      </c>
      <c r="C757" t="s">
        <v>3309</v>
      </c>
      <c r="F757" t="s">
        <v>1235</v>
      </c>
    </row>
    <row r="758" spans="1:6" x14ac:dyDescent="0.15">
      <c r="A758" t="s">
        <v>3970</v>
      </c>
      <c r="C758" t="s">
        <v>3310</v>
      </c>
      <c r="F758" t="s">
        <v>1236</v>
      </c>
    </row>
    <row r="759" spans="1:6" x14ac:dyDescent="0.15">
      <c r="A759" t="s">
        <v>881</v>
      </c>
      <c r="C759" t="s">
        <v>3311</v>
      </c>
      <c r="F759" t="s">
        <v>1237</v>
      </c>
    </row>
    <row r="760" spans="1:6" x14ac:dyDescent="0.15">
      <c r="A760" t="s">
        <v>235</v>
      </c>
      <c r="C760" t="s">
        <v>3312</v>
      </c>
      <c r="F760" t="s">
        <v>1238</v>
      </c>
    </row>
    <row r="761" spans="1:6" x14ac:dyDescent="0.15">
      <c r="A761" t="s">
        <v>3971</v>
      </c>
      <c r="C761" t="s">
        <v>3313</v>
      </c>
      <c r="F761" t="s">
        <v>1239</v>
      </c>
    </row>
    <row r="762" spans="1:6" x14ac:dyDescent="0.15">
      <c r="A762" t="s">
        <v>3972</v>
      </c>
      <c r="C762" t="s">
        <v>3314</v>
      </c>
      <c r="F762" t="s">
        <v>1240</v>
      </c>
    </row>
    <row r="763" spans="1:6" x14ac:dyDescent="0.15">
      <c r="A763" t="s">
        <v>2165</v>
      </c>
      <c r="C763" t="s">
        <v>3315</v>
      </c>
      <c r="F763" t="s">
        <v>230</v>
      </c>
    </row>
    <row r="764" spans="1:6" x14ac:dyDescent="0.15">
      <c r="A764" t="s">
        <v>1202</v>
      </c>
      <c r="C764" t="s">
        <v>3316</v>
      </c>
      <c r="F764" t="s">
        <v>1241</v>
      </c>
    </row>
    <row r="765" spans="1:6" x14ac:dyDescent="0.15">
      <c r="A765" t="s">
        <v>3973</v>
      </c>
      <c r="C765" t="s">
        <v>3317</v>
      </c>
      <c r="F765" t="s">
        <v>1242</v>
      </c>
    </row>
    <row r="766" spans="1:6" x14ac:dyDescent="0.15">
      <c r="A766" t="s">
        <v>2661</v>
      </c>
      <c r="C766" t="s">
        <v>3318</v>
      </c>
      <c r="F766" t="s">
        <v>1243</v>
      </c>
    </row>
    <row r="767" spans="1:6" x14ac:dyDescent="0.15">
      <c r="A767" t="s">
        <v>2194</v>
      </c>
      <c r="C767" t="s">
        <v>3319</v>
      </c>
      <c r="F767" t="s">
        <v>1244</v>
      </c>
    </row>
    <row r="768" spans="1:6" x14ac:dyDescent="0.15">
      <c r="A768" t="s">
        <v>3974</v>
      </c>
      <c r="C768" t="s">
        <v>3320</v>
      </c>
      <c r="F768" t="s">
        <v>1245</v>
      </c>
    </row>
    <row r="769" spans="1:6" x14ac:dyDescent="0.15">
      <c r="A769" t="s">
        <v>3975</v>
      </c>
      <c r="C769" t="s">
        <v>3321</v>
      </c>
      <c r="F769" t="s">
        <v>136</v>
      </c>
    </row>
    <row r="770" spans="1:6" x14ac:dyDescent="0.15">
      <c r="A770" t="s">
        <v>2550</v>
      </c>
      <c r="C770" t="s">
        <v>3322</v>
      </c>
      <c r="F770" t="s">
        <v>1246</v>
      </c>
    </row>
    <row r="771" spans="1:6" x14ac:dyDescent="0.15">
      <c r="A771" t="s">
        <v>1118</v>
      </c>
      <c r="C771" t="s">
        <v>3323</v>
      </c>
      <c r="F771" t="s">
        <v>1247</v>
      </c>
    </row>
    <row r="772" spans="1:6" x14ac:dyDescent="0.15">
      <c r="A772" t="s">
        <v>1800</v>
      </c>
      <c r="C772" t="s">
        <v>3324</v>
      </c>
      <c r="F772" t="s">
        <v>1248</v>
      </c>
    </row>
    <row r="773" spans="1:6" x14ac:dyDescent="0.15">
      <c r="A773" t="s">
        <v>1299</v>
      </c>
      <c r="C773" t="s">
        <v>3325</v>
      </c>
      <c r="F773" t="s">
        <v>1249</v>
      </c>
    </row>
    <row r="774" spans="1:6" x14ac:dyDescent="0.15">
      <c r="A774" t="s">
        <v>2810</v>
      </c>
      <c r="C774" t="s">
        <v>3326</v>
      </c>
      <c r="F774" t="s">
        <v>1250</v>
      </c>
    </row>
    <row r="775" spans="1:6" x14ac:dyDescent="0.15">
      <c r="A775" t="s">
        <v>1411</v>
      </c>
      <c r="C775" t="s">
        <v>3327</v>
      </c>
      <c r="F775" t="s">
        <v>1251</v>
      </c>
    </row>
    <row r="776" spans="1:6" x14ac:dyDescent="0.15">
      <c r="A776" t="s">
        <v>3976</v>
      </c>
      <c r="C776" t="s">
        <v>3328</v>
      </c>
      <c r="F776" t="s">
        <v>1252</v>
      </c>
    </row>
    <row r="777" spans="1:6" x14ac:dyDescent="0.15">
      <c r="A777" t="s">
        <v>3977</v>
      </c>
      <c r="C777" t="s">
        <v>3329</v>
      </c>
      <c r="F777" t="s">
        <v>1253</v>
      </c>
    </row>
    <row r="778" spans="1:6" x14ac:dyDescent="0.15">
      <c r="A778" t="s">
        <v>3978</v>
      </c>
      <c r="C778" t="s">
        <v>3330</v>
      </c>
      <c r="F778" t="s">
        <v>1254</v>
      </c>
    </row>
    <row r="779" spans="1:6" x14ac:dyDescent="0.15">
      <c r="A779" t="s">
        <v>128</v>
      </c>
      <c r="C779" t="s">
        <v>3331</v>
      </c>
      <c r="F779" t="s">
        <v>1255</v>
      </c>
    </row>
    <row r="780" spans="1:6" x14ac:dyDescent="0.15">
      <c r="A780" t="s">
        <v>3979</v>
      </c>
      <c r="C780" t="s">
        <v>3332</v>
      </c>
      <c r="F780" t="s">
        <v>1256</v>
      </c>
    </row>
    <row r="781" spans="1:6" x14ac:dyDescent="0.15">
      <c r="A781" t="s">
        <v>3980</v>
      </c>
      <c r="C781" t="s">
        <v>3333</v>
      </c>
      <c r="F781" t="s">
        <v>1257</v>
      </c>
    </row>
    <row r="782" spans="1:6" x14ac:dyDescent="0.15">
      <c r="A782" t="s">
        <v>3981</v>
      </c>
      <c r="C782" t="s">
        <v>3334</v>
      </c>
      <c r="F782" t="s">
        <v>1258</v>
      </c>
    </row>
    <row r="783" spans="1:6" x14ac:dyDescent="0.15">
      <c r="A783" t="s">
        <v>3982</v>
      </c>
      <c r="C783" t="s">
        <v>3335</v>
      </c>
      <c r="F783" t="s">
        <v>139</v>
      </c>
    </row>
    <row r="784" spans="1:6" x14ac:dyDescent="0.15">
      <c r="A784" t="s">
        <v>3983</v>
      </c>
      <c r="C784" t="s">
        <v>3336</v>
      </c>
      <c r="F784" t="s">
        <v>1259</v>
      </c>
    </row>
    <row r="785" spans="1:6" x14ac:dyDescent="0.15">
      <c r="A785" t="s">
        <v>3984</v>
      </c>
      <c r="C785" t="s">
        <v>3337</v>
      </c>
      <c r="F785" t="s">
        <v>1260</v>
      </c>
    </row>
    <row r="786" spans="1:6" x14ac:dyDescent="0.15">
      <c r="A786" t="s">
        <v>2158</v>
      </c>
      <c r="C786" t="s">
        <v>3338</v>
      </c>
      <c r="F786" t="s">
        <v>1261</v>
      </c>
    </row>
    <row r="787" spans="1:6" x14ac:dyDescent="0.15">
      <c r="A787" t="s">
        <v>439</v>
      </c>
      <c r="C787" t="s">
        <v>3339</v>
      </c>
      <c r="F787" t="s">
        <v>1262</v>
      </c>
    </row>
    <row r="788" spans="1:6" x14ac:dyDescent="0.15">
      <c r="A788" t="s">
        <v>1434</v>
      </c>
      <c r="C788" t="s">
        <v>3340</v>
      </c>
      <c r="F788" t="s">
        <v>1263</v>
      </c>
    </row>
    <row r="789" spans="1:6" x14ac:dyDescent="0.15">
      <c r="A789" t="s">
        <v>3985</v>
      </c>
      <c r="C789" t="s">
        <v>3341</v>
      </c>
      <c r="F789" t="s">
        <v>1264</v>
      </c>
    </row>
    <row r="790" spans="1:6" x14ac:dyDescent="0.15">
      <c r="A790" t="s">
        <v>69</v>
      </c>
      <c r="C790" t="s">
        <v>3342</v>
      </c>
      <c r="F790" t="s">
        <v>1265</v>
      </c>
    </row>
    <row r="791" spans="1:6" x14ac:dyDescent="0.15">
      <c r="A791" t="s">
        <v>1179</v>
      </c>
      <c r="C791" t="s">
        <v>3343</v>
      </c>
      <c r="F791" t="s">
        <v>1266</v>
      </c>
    </row>
    <row r="792" spans="1:6" x14ac:dyDescent="0.15">
      <c r="A792" t="s">
        <v>3986</v>
      </c>
      <c r="C792" t="s">
        <v>3344</v>
      </c>
      <c r="F792" t="s">
        <v>1267</v>
      </c>
    </row>
    <row r="793" spans="1:6" x14ac:dyDescent="0.15">
      <c r="A793" t="s">
        <v>3987</v>
      </c>
      <c r="C793" t="s">
        <v>980</v>
      </c>
      <c r="F793" t="s">
        <v>1268</v>
      </c>
    </row>
    <row r="794" spans="1:6" x14ac:dyDescent="0.15">
      <c r="A794" t="s">
        <v>3988</v>
      </c>
      <c r="C794" t="s">
        <v>3345</v>
      </c>
      <c r="F794" t="s">
        <v>1269</v>
      </c>
    </row>
    <row r="795" spans="1:6" x14ac:dyDescent="0.15">
      <c r="A795" t="s">
        <v>330</v>
      </c>
      <c r="C795" t="s">
        <v>3346</v>
      </c>
      <c r="F795" t="s">
        <v>1270</v>
      </c>
    </row>
    <row r="796" spans="1:6" x14ac:dyDescent="0.15">
      <c r="A796" t="s">
        <v>2636</v>
      </c>
      <c r="C796" t="s">
        <v>3347</v>
      </c>
      <c r="F796" t="s">
        <v>1271</v>
      </c>
    </row>
    <row r="797" spans="1:6" x14ac:dyDescent="0.15">
      <c r="A797" t="s">
        <v>100</v>
      </c>
      <c r="C797" t="s">
        <v>3348</v>
      </c>
      <c r="F797" t="s">
        <v>15</v>
      </c>
    </row>
    <row r="798" spans="1:6" x14ac:dyDescent="0.15">
      <c r="A798" t="s">
        <v>3989</v>
      </c>
      <c r="C798" t="s">
        <v>3349</v>
      </c>
      <c r="F798" t="s">
        <v>1272</v>
      </c>
    </row>
    <row r="799" spans="1:6" x14ac:dyDescent="0.15">
      <c r="A799" t="s">
        <v>743</v>
      </c>
      <c r="C799" t="s">
        <v>3350</v>
      </c>
      <c r="F799" t="s">
        <v>1273</v>
      </c>
    </row>
    <row r="800" spans="1:6" x14ac:dyDescent="0.15">
      <c r="A800" t="s">
        <v>94</v>
      </c>
      <c r="C800" t="s">
        <v>3351</v>
      </c>
      <c r="F800" t="s">
        <v>1274</v>
      </c>
    </row>
    <row r="801" spans="1:6" x14ac:dyDescent="0.15">
      <c r="A801" t="s">
        <v>3990</v>
      </c>
      <c r="C801" t="s">
        <v>3352</v>
      </c>
      <c r="F801" t="s">
        <v>1275</v>
      </c>
    </row>
    <row r="802" spans="1:6" x14ac:dyDescent="0.15">
      <c r="A802" t="s">
        <v>3991</v>
      </c>
      <c r="C802" t="s">
        <v>3353</v>
      </c>
      <c r="F802" t="s">
        <v>1276</v>
      </c>
    </row>
    <row r="803" spans="1:6" x14ac:dyDescent="0.15">
      <c r="A803" t="s">
        <v>3992</v>
      </c>
      <c r="C803" t="s">
        <v>3354</v>
      </c>
      <c r="F803" t="s">
        <v>1277</v>
      </c>
    </row>
    <row r="804" spans="1:6" x14ac:dyDescent="0.15">
      <c r="A804" t="s">
        <v>3993</v>
      </c>
      <c r="C804" t="s">
        <v>3355</v>
      </c>
      <c r="F804" t="s">
        <v>1278</v>
      </c>
    </row>
    <row r="805" spans="1:6" x14ac:dyDescent="0.15">
      <c r="A805" t="s">
        <v>3994</v>
      </c>
      <c r="C805" t="s">
        <v>3356</v>
      </c>
      <c r="F805" t="s">
        <v>1279</v>
      </c>
    </row>
    <row r="806" spans="1:6" x14ac:dyDescent="0.15">
      <c r="A806" t="s">
        <v>3995</v>
      </c>
      <c r="C806" t="s">
        <v>3357</v>
      </c>
      <c r="F806" t="s">
        <v>1280</v>
      </c>
    </row>
    <row r="807" spans="1:6" x14ac:dyDescent="0.15">
      <c r="A807" t="s">
        <v>1169</v>
      </c>
      <c r="C807" t="s">
        <v>3358</v>
      </c>
      <c r="F807" t="s">
        <v>1281</v>
      </c>
    </row>
    <row r="808" spans="1:6" x14ac:dyDescent="0.15">
      <c r="A808" t="s">
        <v>3996</v>
      </c>
      <c r="C808" t="s">
        <v>3359</v>
      </c>
      <c r="F808" t="s">
        <v>984</v>
      </c>
    </row>
    <row r="809" spans="1:6" x14ac:dyDescent="0.15">
      <c r="A809" t="s">
        <v>2290</v>
      </c>
      <c r="C809" t="s">
        <v>3360</v>
      </c>
      <c r="F809" t="s">
        <v>1282</v>
      </c>
    </row>
    <row r="810" spans="1:6" x14ac:dyDescent="0.15">
      <c r="A810" t="s">
        <v>62</v>
      </c>
      <c r="C810" t="s">
        <v>3361</v>
      </c>
      <c r="F810" t="s">
        <v>128</v>
      </c>
    </row>
    <row r="811" spans="1:6" x14ac:dyDescent="0.15">
      <c r="A811" t="s">
        <v>498</v>
      </c>
      <c r="C811" t="s">
        <v>3362</v>
      </c>
      <c r="F811" t="s">
        <v>1283</v>
      </c>
    </row>
    <row r="812" spans="1:6" x14ac:dyDescent="0.15">
      <c r="A812" t="s">
        <v>3997</v>
      </c>
      <c r="C812" t="s">
        <v>3363</v>
      </c>
      <c r="F812" t="s">
        <v>1284</v>
      </c>
    </row>
    <row r="813" spans="1:6" x14ac:dyDescent="0.15">
      <c r="A813" t="s">
        <v>3998</v>
      </c>
      <c r="C813" t="s">
        <v>3364</v>
      </c>
      <c r="F813" t="s">
        <v>1285</v>
      </c>
    </row>
    <row r="814" spans="1:6" x14ac:dyDescent="0.15">
      <c r="A814" t="s">
        <v>3999</v>
      </c>
      <c r="C814" t="s">
        <v>3365</v>
      </c>
      <c r="F814" t="s">
        <v>1286</v>
      </c>
    </row>
    <row r="815" spans="1:6" x14ac:dyDescent="0.15">
      <c r="A815" t="s">
        <v>2430</v>
      </c>
      <c r="C815" t="s">
        <v>3366</v>
      </c>
      <c r="F815" t="s">
        <v>24</v>
      </c>
    </row>
    <row r="816" spans="1:6" x14ac:dyDescent="0.15">
      <c r="A816" t="s">
        <v>4000</v>
      </c>
      <c r="C816" t="s">
        <v>3367</v>
      </c>
      <c r="F816" t="s">
        <v>1287</v>
      </c>
    </row>
    <row r="817" spans="1:6" x14ac:dyDescent="0.15">
      <c r="A817" t="s">
        <v>4001</v>
      </c>
      <c r="C817" t="s">
        <v>3368</v>
      </c>
      <c r="F817" t="s">
        <v>1288</v>
      </c>
    </row>
    <row r="818" spans="1:6" x14ac:dyDescent="0.15">
      <c r="A818" t="s">
        <v>4002</v>
      </c>
      <c r="C818" t="s">
        <v>3369</v>
      </c>
      <c r="F818" t="s">
        <v>1289</v>
      </c>
    </row>
    <row r="819" spans="1:6" x14ac:dyDescent="0.15">
      <c r="A819" t="s">
        <v>1607</v>
      </c>
      <c r="C819" t="s">
        <v>3370</v>
      </c>
      <c r="F819" t="s">
        <v>1290</v>
      </c>
    </row>
    <row r="820" spans="1:6" x14ac:dyDescent="0.15">
      <c r="A820" t="s">
        <v>4003</v>
      </c>
      <c r="C820" t="s">
        <v>3371</v>
      </c>
      <c r="F820" t="s">
        <v>1291</v>
      </c>
    </row>
    <row r="821" spans="1:6" x14ac:dyDescent="0.15">
      <c r="A821" t="s">
        <v>4004</v>
      </c>
      <c r="C821" t="s">
        <v>3372</v>
      </c>
      <c r="F821" t="s">
        <v>1292</v>
      </c>
    </row>
    <row r="822" spans="1:6" x14ac:dyDescent="0.15">
      <c r="A822" t="s">
        <v>4005</v>
      </c>
      <c r="C822" t="s">
        <v>3373</v>
      </c>
      <c r="F822" t="s">
        <v>1293</v>
      </c>
    </row>
    <row r="823" spans="1:6" x14ac:dyDescent="0.15">
      <c r="A823" t="s">
        <v>2465</v>
      </c>
      <c r="C823" t="s">
        <v>900</v>
      </c>
      <c r="F823" t="s">
        <v>1294</v>
      </c>
    </row>
    <row r="824" spans="1:6" x14ac:dyDescent="0.15">
      <c r="A824" t="s">
        <v>4006</v>
      </c>
      <c r="C824" t="s">
        <v>3374</v>
      </c>
      <c r="F824" t="s">
        <v>1295</v>
      </c>
    </row>
    <row r="825" spans="1:6" x14ac:dyDescent="0.15">
      <c r="A825" t="s">
        <v>4007</v>
      </c>
      <c r="C825" t="s">
        <v>3375</v>
      </c>
      <c r="F825" t="s">
        <v>1296</v>
      </c>
    </row>
    <row r="826" spans="1:6" x14ac:dyDescent="0.15">
      <c r="A826" t="s">
        <v>81</v>
      </c>
      <c r="C826" t="s">
        <v>3376</v>
      </c>
      <c r="F826" t="s">
        <v>1297</v>
      </c>
    </row>
    <row r="827" spans="1:6" x14ac:dyDescent="0.15">
      <c r="A827" t="s">
        <v>4008</v>
      </c>
      <c r="C827" t="s">
        <v>3377</v>
      </c>
      <c r="F827" t="s">
        <v>1298</v>
      </c>
    </row>
    <row r="828" spans="1:6" x14ac:dyDescent="0.15">
      <c r="A828" t="s">
        <v>4009</v>
      </c>
      <c r="C828" t="s">
        <v>3378</v>
      </c>
      <c r="F828" t="s">
        <v>1299</v>
      </c>
    </row>
    <row r="829" spans="1:6" x14ac:dyDescent="0.15">
      <c r="A829" t="s">
        <v>211</v>
      </c>
      <c r="C829" t="s">
        <v>117</v>
      </c>
      <c r="F829" t="s">
        <v>1300</v>
      </c>
    </row>
    <row r="830" spans="1:6" x14ac:dyDescent="0.15">
      <c r="A830" t="s">
        <v>85</v>
      </c>
      <c r="C830" t="s">
        <v>3379</v>
      </c>
      <c r="F830" t="s">
        <v>1301</v>
      </c>
    </row>
    <row r="831" spans="1:6" x14ac:dyDescent="0.15">
      <c r="A831" t="s">
        <v>4010</v>
      </c>
      <c r="C831" t="s">
        <v>3380</v>
      </c>
      <c r="F831" t="s">
        <v>1302</v>
      </c>
    </row>
    <row r="832" spans="1:6" x14ac:dyDescent="0.15">
      <c r="A832" t="s">
        <v>2649</v>
      </c>
      <c r="C832" t="s">
        <v>3381</v>
      </c>
      <c r="F832" t="s">
        <v>1303</v>
      </c>
    </row>
    <row r="833" spans="1:6" x14ac:dyDescent="0.15">
      <c r="A833" t="s">
        <v>4011</v>
      </c>
      <c r="C833" t="s">
        <v>3382</v>
      </c>
      <c r="F833" t="s">
        <v>1304</v>
      </c>
    </row>
    <row r="834" spans="1:6" x14ac:dyDescent="0.15">
      <c r="A834" t="s">
        <v>4012</v>
      </c>
      <c r="C834" t="s">
        <v>3383</v>
      </c>
      <c r="F834" t="s">
        <v>1305</v>
      </c>
    </row>
    <row r="835" spans="1:6" x14ac:dyDescent="0.15">
      <c r="A835" t="s">
        <v>1740</v>
      </c>
      <c r="C835" t="s">
        <v>3384</v>
      </c>
      <c r="F835" t="s">
        <v>1306</v>
      </c>
    </row>
    <row r="836" spans="1:6" x14ac:dyDescent="0.15">
      <c r="A836" t="s">
        <v>4013</v>
      </c>
      <c r="C836" t="s">
        <v>3385</v>
      </c>
      <c r="F836" t="s">
        <v>1307</v>
      </c>
    </row>
    <row r="837" spans="1:6" x14ac:dyDescent="0.15">
      <c r="A837" t="s">
        <v>219</v>
      </c>
      <c r="C837" t="s">
        <v>3386</v>
      </c>
      <c r="F837" t="s">
        <v>1308</v>
      </c>
    </row>
    <row r="838" spans="1:6" x14ac:dyDescent="0.15">
      <c r="A838" t="s">
        <v>612</v>
      </c>
      <c r="C838" t="s">
        <v>3387</v>
      </c>
      <c r="F838" t="s">
        <v>1309</v>
      </c>
    </row>
    <row r="839" spans="1:6" x14ac:dyDescent="0.15">
      <c r="A839" t="s">
        <v>4014</v>
      </c>
      <c r="C839" t="s">
        <v>3388</v>
      </c>
      <c r="F839" t="s">
        <v>1310</v>
      </c>
    </row>
    <row r="840" spans="1:6" x14ac:dyDescent="0.15">
      <c r="A840" t="s">
        <v>4015</v>
      </c>
      <c r="C840" t="s">
        <v>3389</v>
      </c>
      <c r="F840" t="s">
        <v>1311</v>
      </c>
    </row>
    <row r="841" spans="1:6" x14ac:dyDescent="0.15">
      <c r="A841" t="s">
        <v>4016</v>
      </c>
      <c r="C841" t="s">
        <v>3390</v>
      </c>
      <c r="F841" t="s">
        <v>1312</v>
      </c>
    </row>
    <row r="842" spans="1:6" x14ac:dyDescent="0.15">
      <c r="A842" t="s">
        <v>1173</v>
      </c>
      <c r="C842" t="s">
        <v>3391</v>
      </c>
      <c r="F842" t="s">
        <v>1313</v>
      </c>
    </row>
    <row r="843" spans="1:6" x14ac:dyDescent="0.15">
      <c r="A843" t="s">
        <v>4017</v>
      </c>
      <c r="C843" t="s">
        <v>2104</v>
      </c>
      <c r="F843" t="s">
        <v>1314</v>
      </c>
    </row>
    <row r="844" spans="1:6" x14ac:dyDescent="0.15">
      <c r="A844" t="s">
        <v>1324</v>
      </c>
      <c r="C844" t="s">
        <v>1104</v>
      </c>
      <c r="F844" t="s">
        <v>1315</v>
      </c>
    </row>
    <row r="845" spans="1:6" x14ac:dyDescent="0.15">
      <c r="A845" t="s">
        <v>13</v>
      </c>
      <c r="C845" t="s">
        <v>3392</v>
      </c>
      <c r="F845" t="s">
        <v>1316</v>
      </c>
    </row>
    <row r="846" spans="1:6" x14ac:dyDescent="0.15">
      <c r="A846" t="s">
        <v>4018</v>
      </c>
      <c r="C846" t="s">
        <v>3393</v>
      </c>
      <c r="F846" t="s">
        <v>1317</v>
      </c>
    </row>
    <row r="847" spans="1:6" x14ac:dyDescent="0.15">
      <c r="A847" t="s">
        <v>4019</v>
      </c>
      <c r="C847" t="s">
        <v>3394</v>
      </c>
      <c r="F847" t="s">
        <v>1318</v>
      </c>
    </row>
    <row r="848" spans="1:6" x14ac:dyDescent="0.15">
      <c r="A848" t="s">
        <v>4020</v>
      </c>
      <c r="C848" t="s">
        <v>3395</v>
      </c>
      <c r="F848" t="s">
        <v>1319</v>
      </c>
    </row>
    <row r="849" spans="1:6" x14ac:dyDescent="0.15">
      <c r="A849" t="s">
        <v>4021</v>
      </c>
      <c r="C849" t="s">
        <v>3396</v>
      </c>
      <c r="F849" t="s">
        <v>26</v>
      </c>
    </row>
    <row r="850" spans="1:6" x14ac:dyDescent="0.15">
      <c r="A850" t="s">
        <v>4022</v>
      </c>
      <c r="C850" t="s">
        <v>3397</v>
      </c>
      <c r="F850" t="s">
        <v>1320</v>
      </c>
    </row>
    <row r="851" spans="1:6" x14ac:dyDescent="0.15">
      <c r="A851" t="s">
        <v>2173</v>
      </c>
      <c r="C851" t="s">
        <v>3398</v>
      </c>
      <c r="F851" t="s">
        <v>1321</v>
      </c>
    </row>
    <row r="852" spans="1:6" x14ac:dyDescent="0.15">
      <c r="A852" t="s">
        <v>4023</v>
      </c>
      <c r="C852" t="s">
        <v>3399</v>
      </c>
      <c r="F852" t="s">
        <v>1322</v>
      </c>
    </row>
    <row r="853" spans="1:6" x14ac:dyDescent="0.15">
      <c r="A853" t="s">
        <v>4024</v>
      </c>
      <c r="C853" t="s">
        <v>3400</v>
      </c>
      <c r="F853" t="s">
        <v>1323</v>
      </c>
    </row>
    <row r="854" spans="1:6" x14ac:dyDescent="0.15">
      <c r="A854" t="s">
        <v>1143</v>
      </c>
      <c r="C854" t="s">
        <v>3401</v>
      </c>
      <c r="F854" t="s">
        <v>1324</v>
      </c>
    </row>
    <row r="855" spans="1:6" x14ac:dyDescent="0.15">
      <c r="A855" t="s">
        <v>1338</v>
      </c>
      <c r="C855" t="s">
        <v>3402</v>
      </c>
      <c r="F855" t="s">
        <v>1325</v>
      </c>
    </row>
    <row r="856" spans="1:6" x14ac:dyDescent="0.15">
      <c r="A856" t="s">
        <v>4025</v>
      </c>
      <c r="C856" t="s">
        <v>3403</v>
      </c>
      <c r="F856" t="s">
        <v>1326</v>
      </c>
    </row>
    <row r="857" spans="1:6" x14ac:dyDescent="0.15">
      <c r="A857" t="s">
        <v>4026</v>
      </c>
      <c r="C857" t="s">
        <v>1155</v>
      </c>
      <c r="F857" t="s">
        <v>1327</v>
      </c>
    </row>
    <row r="858" spans="1:6" x14ac:dyDescent="0.15">
      <c r="A858" t="s">
        <v>1781</v>
      </c>
      <c r="C858" t="s">
        <v>3404</v>
      </c>
      <c r="F858" t="s">
        <v>1328</v>
      </c>
    </row>
    <row r="859" spans="1:6" x14ac:dyDescent="0.15">
      <c r="A859" t="s">
        <v>4027</v>
      </c>
      <c r="C859" t="s">
        <v>3405</v>
      </c>
      <c r="F859" t="s">
        <v>1329</v>
      </c>
    </row>
    <row r="860" spans="1:6" x14ac:dyDescent="0.15">
      <c r="A860" t="s">
        <v>4028</v>
      </c>
      <c r="C860" t="s">
        <v>3406</v>
      </c>
      <c r="F860" t="s">
        <v>1330</v>
      </c>
    </row>
    <row r="861" spans="1:6" x14ac:dyDescent="0.15">
      <c r="A861" t="s">
        <v>4029</v>
      </c>
      <c r="C861" t="s">
        <v>3407</v>
      </c>
      <c r="F861" t="s">
        <v>1331</v>
      </c>
    </row>
    <row r="862" spans="1:6" x14ac:dyDescent="0.15">
      <c r="A862" t="s">
        <v>4030</v>
      </c>
      <c r="C862" t="s">
        <v>3408</v>
      </c>
      <c r="F862" t="s">
        <v>1332</v>
      </c>
    </row>
    <row r="863" spans="1:6" x14ac:dyDescent="0.15">
      <c r="A863" t="s">
        <v>4031</v>
      </c>
      <c r="C863" t="s">
        <v>3409</v>
      </c>
      <c r="F863" t="s">
        <v>1333</v>
      </c>
    </row>
    <row r="864" spans="1:6" x14ac:dyDescent="0.15">
      <c r="A864" t="s">
        <v>4032</v>
      </c>
      <c r="C864" t="s">
        <v>3410</v>
      </c>
      <c r="F864" t="s">
        <v>1334</v>
      </c>
    </row>
    <row r="865" spans="1:6" x14ac:dyDescent="0.15">
      <c r="A865" t="s">
        <v>1637</v>
      </c>
      <c r="C865" t="s">
        <v>3411</v>
      </c>
      <c r="F865" t="s">
        <v>183</v>
      </c>
    </row>
    <row r="866" spans="1:6" x14ac:dyDescent="0.15">
      <c r="A866" t="s">
        <v>43</v>
      </c>
      <c r="C866" t="s">
        <v>1020</v>
      </c>
      <c r="F866" t="s">
        <v>1335</v>
      </c>
    </row>
    <row r="867" spans="1:6" x14ac:dyDescent="0.15">
      <c r="A867" t="s">
        <v>4033</v>
      </c>
      <c r="C867" t="s">
        <v>3412</v>
      </c>
      <c r="F867" t="s">
        <v>1336</v>
      </c>
    </row>
    <row r="868" spans="1:6" x14ac:dyDescent="0.15">
      <c r="A868" t="s">
        <v>4034</v>
      </c>
      <c r="C868" t="s">
        <v>3413</v>
      </c>
      <c r="F868" t="s">
        <v>1337</v>
      </c>
    </row>
    <row r="869" spans="1:6" x14ac:dyDescent="0.15">
      <c r="A869" t="s">
        <v>4035</v>
      </c>
      <c r="C869" t="s">
        <v>3414</v>
      </c>
      <c r="F869" t="s">
        <v>1338</v>
      </c>
    </row>
    <row r="870" spans="1:6" x14ac:dyDescent="0.15">
      <c r="A870" t="s">
        <v>4036</v>
      </c>
      <c r="C870" t="s">
        <v>3415</v>
      </c>
      <c r="F870" t="s">
        <v>1339</v>
      </c>
    </row>
    <row r="871" spans="1:6" x14ac:dyDescent="0.15">
      <c r="A871" t="s">
        <v>4037</v>
      </c>
      <c r="C871" t="s">
        <v>3416</v>
      </c>
      <c r="F871" t="s">
        <v>1340</v>
      </c>
    </row>
    <row r="872" spans="1:6" x14ac:dyDescent="0.15">
      <c r="A872" t="s">
        <v>4038</v>
      </c>
      <c r="C872" t="s">
        <v>1908</v>
      </c>
      <c r="F872" t="s">
        <v>1341</v>
      </c>
    </row>
    <row r="873" spans="1:6" x14ac:dyDescent="0.15">
      <c r="A873" t="s">
        <v>1990</v>
      </c>
      <c r="C873" t="s">
        <v>3417</v>
      </c>
      <c r="F873" t="s">
        <v>1342</v>
      </c>
    </row>
    <row r="874" spans="1:6" x14ac:dyDescent="0.15">
      <c r="A874" t="s">
        <v>4039</v>
      </c>
      <c r="C874" t="s">
        <v>3418</v>
      </c>
      <c r="F874" t="s">
        <v>1343</v>
      </c>
    </row>
    <row r="875" spans="1:6" x14ac:dyDescent="0.15">
      <c r="A875" t="s">
        <v>4040</v>
      </c>
      <c r="C875" t="s">
        <v>3419</v>
      </c>
      <c r="F875" t="s">
        <v>1344</v>
      </c>
    </row>
    <row r="876" spans="1:6" x14ac:dyDescent="0.15">
      <c r="A876" t="s">
        <v>4041</v>
      </c>
      <c r="C876" t="s">
        <v>3420</v>
      </c>
      <c r="F876" t="s">
        <v>1345</v>
      </c>
    </row>
    <row r="877" spans="1:6" x14ac:dyDescent="0.15">
      <c r="A877" t="s">
        <v>233</v>
      </c>
      <c r="C877" t="s">
        <v>3421</v>
      </c>
      <c r="F877" t="s">
        <v>1346</v>
      </c>
    </row>
    <row r="878" spans="1:6" x14ac:dyDescent="0.15">
      <c r="A878" t="s">
        <v>1658</v>
      </c>
      <c r="C878" t="s">
        <v>3422</v>
      </c>
      <c r="F878" t="s">
        <v>1347</v>
      </c>
    </row>
    <row r="879" spans="1:6" x14ac:dyDescent="0.15">
      <c r="A879" t="s">
        <v>4042</v>
      </c>
      <c r="C879" t="s">
        <v>3423</v>
      </c>
      <c r="F879" t="s">
        <v>1348</v>
      </c>
    </row>
    <row r="880" spans="1:6" x14ac:dyDescent="0.15">
      <c r="A880" t="s">
        <v>4043</v>
      </c>
      <c r="C880" t="s">
        <v>3424</v>
      </c>
      <c r="F880" t="s">
        <v>1349</v>
      </c>
    </row>
    <row r="881" spans="1:6" x14ac:dyDescent="0.15">
      <c r="A881" t="s">
        <v>4044</v>
      </c>
      <c r="C881" t="s">
        <v>3425</v>
      </c>
      <c r="F881" t="s">
        <v>1350</v>
      </c>
    </row>
    <row r="882" spans="1:6" x14ac:dyDescent="0.15">
      <c r="A882" t="s">
        <v>4045</v>
      </c>
      <c r="C882" t="s">
        <v>3426</v>
      </c>
      <c r="F882" t="s">
        <v>1351</v>
      </c>
    </row>
    <row r="883" spans="1:6" x14ac:dyDescent="0.15">
      <c r="A883" t="s">
        <v>2571</v>
      </c>
      <c r="C883" t="s">
        <v>3427</v>
      </c>
      <c r="F883" t="s">
        <v>1352</v>
      </c>
    </row>
    <row r="884" spans="1:6" x14ac:dyDescent="0.15">
      <c r="A884" t="s">
        <v>4046</v>
      </c>
      <c r="C884" t="s">
        <v>1023</v>
      </c>
      <c r="F884" t="s">
        <v>1353</v>
      </c>
    </row>
    <row r="885" spans="1:6" x14ac:dyDescent="0.15">
      <c r="A885" t="s">
        <v>4047</v>
      </c>
      <c r="C885" t="s">
        <v>3428</v>
      </c>
      <c r="F885" t="s">
        <v>1354</v>
      </c>
    </row>
    <row r="886" spans="1:6" x14ac:dyDescent="0.15">
      <c r="A886" t="s">
        <v>1574</v>
      </c>
      <c r="C886" t="s">
        <v>3429</v>
      </c>
      <c r="F886" t="s">
        <v>1355</v>
      </c>
    </row>
    <row r="887" spans="1:6" x14ac:dyDescent="0.15">
      <c r="A887" t="s">
        <v>4048</v>
      </c>
      <c r="C887" t="s">
        <v>3430</v>
      </c>
      <c r="F887" t="s">
        <v>1356</v>
      </c>
    </row>
    <row r="888" spans="1:6" x14ac:dyDescent="0.15">
      <c r="A888" t="s">
        <v>4049</v>
      </c>
      <c r="C888" t="s">
        <v>3431</v>
      </c>
      <c r="F888" t="s">
        <v>1357</v>
      </c>
    </row>
    <row r="889" spans="1:6" x14ac:dyDescent="0.15">
      <c r="A889" t="s">
        <v>10</v>
      </c>
      <c r="C889" t="s">
        <v>3432</v>
      </c>
      <c r="F889" t="s">
        <v>1358</v>
      </c>
    </row>
    <row r="890" spans="1:6" x14ac:dyDescent="0.15">
      <c r="A890" t="s">
        <v>4050</v>
      </c>
      <c r="C890" t="s">
        <v>3433</v>
      </c>
      <c r="F890" t="s">
        <v>1359</v>
      </c>
    </row>
    <row r="891" spans="1:6" x14ac:dyDescent="0.15">
      <c r="A891" t="s">
        <v>4051</v>
      </c>
      <c r="C891" t="s">
        <v>3434</v>
      </c>
      <c r="F891" t="s">
        <v>1360</v>
      </c>
    </row>
    <row r="892" spans="1:6" x14ac:dyDescent="0.15">
      <c r="A892" t="s">
        <v>4052</v>
      </c>
      <c r="C892" t="s">
        <v>3435</v>
      </c>
      <c r="F892" t="s">
        <v>1361</v>
      </c>
    </row>
    <row r="893" spans="1:6" x14ac:dyDescent="0.15">
      <c r="A893" t="s">
        <v>4053</v>
      </c>
      <c r="C893" t="s">
        <v>3436</v>
      </c>
      <c r="F893" t="s">
        <v>1362</v>
      </c>
    </row>
    <row r="894" spans="1:6" x14ac:dyDescent="0.15">
      <c r="A894" t="s">
        <v>342</v>
      </c>
      <c r="C894" t="s">
        <v>3437</v>
      </c>
      <c r="F894" t="s">
        <v>1363</v>
      </c>
    </row>
    <row r="895" spans="1:6" x14ac:dyDescent="0.15">
      <c r="A895" t="s">
        <v>4054</v>
      </c>
      <c r="C895" t="s">
        <v>3438</v>
      </c>
      <c r="F895" t="s">
        <v>170</v>
      </c>
    </row>
    <row r="896" spans="1:6" x14ac:dyDescent="0.15">
      <c r="A896" t="s">
        <v>4055</v>
      </c>
      <c r="C896" t="s">
        <v>3439</v>
      </c>
      <c r="F896" t="s">
        <v>1364</v>
      </c>
    </row>
    <row r="897" spans="1:6" x14ac:dyDescent="0.15">
      <c r="A897" t="s">
        <v>2681</v>
      </c>
      <c r="C897" t="s">
        <v>3440</v>
      </c>
      <c r="F897" t="s">
        <v>1365</v>
      </c>
    </row>
    <row r="898" spans="1:6" x14ac:dyDescent="0.15">
      <c r="A898" t="s">
        <v>4056</v>
      </c>
      <c r="C898" t="s">
        <v>3441</v>
      </c>
      <c r="F898" t="s">
        <v>1366</v>
      </c>
    </row>
    <row r="899" spans="1:6" x14ac:dyDescent="0.15">
      <c r="A899" t="s">
        <v>751</v>
      </c>
      <c r="C899" t="s">
        <v>3442</v>
      </c>
      <c r="F899" t="s">
        <v>1367</v>
      </c>
    </row>
    <row r="900" spans="1:6" x14ac:dyDescent="0.15">
      <c r="A900" t="s">
        <v>4057</v>
      </c>
      <c r="C900" t="s">
        <v>3443</v>
      </c>
      <c r="F900" t="s">
        <v>1368</v>
      </c>
    </row>
    <row r="901" spans="1:6" x14ac:dyDescent="0.15">
      <c r="A901" t="s">
        <v>4058</v>
      </c>
      <c r="C901" t="s">
        <v>3444</v>
      </c>
      <c r="F901" t="s">
        <v>1369</v>
      </c>
    </row>
    <row r="902" spans="1:6" x14ac:dyDescent="0.15">
      <c r="A902" t="s">
        <v>4059</v>
      </c>
      <c r="C902" t="s">
        <v>3445</v>
      </c>
      <c r="F902" t="s">
        <v>1370</v>
      </c>
    </row>
    <row r="903" spans="1:6" x14ac:dyDescent="0.15">
      <c r="A903" t="s">
        <v>4060</v>
      </c>
      <c r="C903" t="s">
        <v>3446</v>
      </c>
      <c r="F903" t="s">
        <v>1371</v>
      </c>
    </row>
    <row r="904" spans="1:6" x14ac:dyDescent="0.15">
      <c r="A904" t="s">
        <v>1359</v>
      </c>
      <c r="C904" t="s">
        <v>3447</v>
      </c>
      <c r="F904" t="s">
        <v>1372</v>
      </c>
    </row>
    <row r="905" spans="1:6" x14ac:dyDescent="0.15">
      <c r="A905" t="s">
        <v>4061</v>
      </c>
      <c r="C905" t="s">
        <v>3448</v>
      </c>
      <c r="F905" t="s">
        <v>1373</v>
      </c>
    </row>
    <row r="906" spans="1:6" x14ac:dyDescent="0.15">
      <c r="A906" t="s">
        <v>4062</v>
      </c>
      <c r="C906" t="s">
        <v>3449</v>
      </c>
      <c r="F906" t="s">
        <v>1374</v>
      </c>
    </row>
    <row r="907" spans="1:6" x14ac:dyDescent="0.15">
      <c r="A907" t="s">
        <v>4063</v>
      </c>
      <c r="C907" t="s">
        <v>3450</v>
      </c>
      <c r="F907" t="s">
        <v>1375</v>
      </c>
    </row>
    <row r="908" spans="1:6" x14ac:dyDescent="0.15">
      <c r="A908" t="s">
        <v>4064</v>
      </c>
      <c r="C908" t="s">
        <v>3451</v>
      </c>
      <c r="F908" t="s">
        <v>1376</v>
      </c>
    </row>
    <row r="909" spans="1:6" x14ac:dyDescent="0.15">
      <c r="A909" t="s">
        <v>4065</v>
      </c>
      <c r="C909" t="s">
        <v>3452</v>
      </c>
      <c r="F909" t="s">
        <v>1377</v>
      </c>
    </row>
    <row r="910" spans="1:6" x14ac:dyDescent="0.15">
      <c r="A910" t="s">
        <v>224</v>
      </c>
      <c r="C910" t="s">
        <v>3453</v>
      </c>
      <c r="F910" t="s">
        <v>1378</v>
      </c>
    </row>
    <row r="911" spans="1:6" x14ac:dyDescent="0.15">
      <c r="A911" t="s">
        <v>4066</v>
      </c>
      <c r="C911" t="s">
        <v>3454</v>
      </c>
      <c r="F911" t="s">
        <v>1379</v>
      </c>
    </row>
    <row r="912" spans="1:6" x14ac:dyDescent="0.15">
      <c r="A912" t="s">
        <v>4067</v>
      </c>
      <c r="C912" t="s">
        <v>3455</v>
      </c>
      <c r="F912" t="s">
        <v>1380</v>
      </c>
    </row>
    <row r="913" spans="1:6" x14ac:dyDescent="0.15">
      <c r="A913" t="s">
        <v>4068</v>
      </c>
      <c r="C913" t="s">
        <v>3456</v>
      </c>
      <c r="F913" t="s">
        <v>1381</v>
      </c>
    </row>
    <row r="914" spans="1:6" x14ac:dyDescent="0.15">
      <c r="A914" t="s">
        <v>4069</v>
      </c>
      <c r="C914" t="s">
        <v>3457</v>
      </c>
      <c r="F914" t="s">
        <v>1382</v>
      </c>
    </row>
    <row r="915" spans="1:6" x14ac:dyDescent="0.15">
      <c r="A915" t="s">
        <v>4070</v>
      </c>
      <c r="C915" t="s">
        <v>3458</v>
      </c>
      <c r="F915" t="s">
        <v>1383</v>
      </c>
    </row>
    <row r="916" spans="1:6" x14ac:dyDescent="0.15">
      <c r="A916" t="s">
        <v>4071</v>
      </c>
      <c r="C916" t="s">
        <v>3459</v>
      </c>
      <c r="F916" t="s">
        <v>1384</v>
      </c>
    </row>
    <row r="917" spans="1:6" x14ac:dyDescent="0.15">
      <c r="A917" t="s">
        <v>4072</v>
      </c>
      <c r="C917" t="s">
        <v>3460</v>
      </c>
      <c r="F917" t="s">
        <v>1385</v>
      </c>
    </row>
    <row r="918" spans="1:6" x14ac:dyDescent="0.15">
      <c r="A918" t="s">
        <v>4073</v>
      </c>
      <c r="C918" t="s">
        <v>3461</v>
      </c>
      <c r="F918" t="s">
        <v>1386</v>
      </c>
    </row>
    <row r="919" spans="1:6" x14ac:dyDescent="0.15">
      <c r="A919" t="s">
        <v>102</v>
      </c>
      <c r="C919" t="s">
        <v>3462</v>
      </c>
      <c r="F919" t="s">
        <v>1387</v>
      </c>
    </row>
    <row r="920" spans="1:6" x14ac:dyDescent="0.15">
      <c r="A920" t="s">
        <v>4074</v>
      </c>
      <c r="C920" t="s">
        <v>3463</v>
      </c>
      <c r="F920" t="s">
        <v>18</v>
      </c>
    </row>
    <row r="921" spans="1:6" x14ac:dyDescent="0.15">
      <c r="A921" t="s">
        <v>2361</v>
      </c>
      <c r="C921" t="s">
        <v>2282</v>
      </c>
      <c r="F921" t="s">
        <v>1388</v>
      </c>
    </row>
    <row r="922" spans="1:6" x14ac:dyDescent="0.15">
      <c r="A922" t="s">
        <v>4075</v>
      </c>
      <c r="C922" t="s">
        <v>3464</v>
      </c>
      <c r="F922" t="s">
        <v>1389</v>
      </c>
    </row>
    <row r="923" spans="1:6" x14ac:dyDescent="0.15">
      <c r="A923" t="s">
        <v>4076</v>
      </c>
      <c r="C923" t="s">
        <v>3465</v>
      </c>
      <c r="F923" t="s">
        <v>1390</v>
      </c>
    </row>
    <row r="924" spans="1:6" x14ac:dyDescent="0.15">
      <c r="A924" t="s">
        <v>4077</v>
      </c>
      <c r="C924" t="s">
        <v>3466</v>
      </c>
      <c r="F924" t="s">
        <v>106</v>
      </c>
    </row>
    <row r="925" spans="1:6" x14ac:dyDescent="0.15">
      <c r="A925" t="s">
        <v>411</v>
      </c>
      <c r="C925" t="s">
        <v>3467</v>
      </c>
      <c r="F925" t="s">
        <v>1391</v>
      </c>
    </row>
    <row r="926" spans="1:6" x14ac:dyDescent="0.15">
      <c r="A926" t="s">
        <v>1857</v>
      </c>
      <c r="C926" t="s">
        <v>3468</v>
      </c>
      <c r="F926" t="s">
        <v>30</v>
      </c>
    </row>
    <row r="927" spans="1:6" x14ac:dyDescent="0.15">
      <c r="A927" t="s">
        <v>4078</v>
      </c>
      <c r="C927" t="s">
        <v>3469</v>
      </c>
      <c r="F927" t="s">
        <v>1392</v>
      </c>
    </row>
    <row r="928" spans="1:6" x14ac:dyDescent="0.15">
      <c r="A928" t="s">
        <v>4079</v>
      </c>
      <c r="C928" t="s">
        <v>3470</v>
      </c>
      <c r="F928" t="s">
        <v>143</v>
      </c>
    </row>
    <row r="929" spans="1:6" x14ac:dyDescent="0.15">
      <c r="A929" t="s">
        <v>4080</v>
      </c>
      <c r="C929" t="s">
        <v>3471</v>
      </c>
      <c r="F929" t="s">
        <v>196</v>
      </c>
    </row>
    <row r="930" spans="1:6" x14ac:dyDescent="0.15">
      <c r="A930" t="s">
        <v>4081</v>
      </c>
      <c r="C930" t="s">
        <v>3472</v>
      </c>
      <c r="F930" t="s">
        <v>1393</v>
      </c>
    </row>
    <row r="931" spans="1:6" x14ac:dyDescent="0.15">
      <c r="A931" t="s">
        <v>4082</v>
      </c>
      <c r="C931" t="s">
        <v>3473</v>
      </c>
      <c r="F931" t="s">
        <v>1394</v>
      </c>
    </row>
    <row r="932" spans="1:6" x14ac:dyDescent="0.15">
      <c r="A932" t="s">
        <v>4083</v>
      </c>
      <c r="C932" t="s">
        <v>3474</v>
      </c>
      <c r="F932" t="s">
        <v>1395</v>
      </c>
    </row>
    <row r="933" spans="1:6" x14ac:dyDescent="0.15">
      <c r="A933" t="s">
        <v>4084</v>
      </c>
      <c r="C933" t="s">
        <v>3475</v>
      </c>
      <c r="F933" t="s">
        <v>1396</v>
      </c>
    </row>
    <row r="934" spans="1:6" x14ac:dyDescent="0.15">
      <c r="A934" t="s">
        <v>4085</v>
      </c>
      <c r="C934" t="s">
        <v>960</v>
      </c>
      <c r="F934" t="s">
        <v>1397</v>
      </c>
    </row>
    <row r="935" spans="1:6" x14ac:dyDescent="0.15">
      <c r="A935" t="s">
        <v>4086</v>
      </c>
      <c r="C935" t="s">
        <v>3476</v>
      </c>
      <c r="F935" t="s">
        <v>1398</v>
      </c>
    </row>
    <row r="936" spans="1:6" x14ac:dyDescent="0.15">
      <c r="A936" t="s">
        <v>4087</v>
      </c>
      <c r="C936" t="s">
        <v>3477</v>
      </c>
      <c r="F936" t="s">
        <v>1399</v>
      </c>
    </row>
    <row r="937" spans="1:6" x14ac:dyDescent="0.15">
      <c r="A937" t="s">
        <v>221</v>
      </c>
      <c r="C937" t="s">
        <v>3478</v>
      </c>
      <c r="F937" t="s">
        <v>1400</v>
      </c>
    </row>
    <row r="938" spans="1:6" x14ac:dyDescent="0.15">
      <c r="A938" t="s">
        <v>4088</v>
      </c>
      <c r="C938" t="s">
        <v>3479</v>
      </c>
      <c r="F938" t="s">
        <v>1401</v>
      </c>
    </row>
    <row r="939" spans="1:6" x14ac:dyDescent="0.15">
      <c r="A939" t="s">
        <v>4089</v>
      </c>
      <c r="C939" t="s">
        <v>3480</v>
      </c>
      <c r="F939" t="s">
        <v>1402</v>
      </c>
    </row>
    <row r="940" spans="1:6" x14ac:dyDescent="0.15">
      <c r="A940" t="s">
        <v>4090</v>
      </c>
      <c r="C940" t="s">
        <v>3481</v>
      </c>
      <c r="F940" t="s">
        <v>1403</v>
      </c>
    </row>
    <row r="941" spans="1:6" x14ac:dyDescent="0.15">
      <c r="A941" t="s">
        <v>4091</v>
      </c>
      <c r="C941" t="s">
        <v>3482</v>
      </c>
      <c r="F941" t="s">
        <v>1404</v>
      </c>
    </row>
    <row r="942" spans="1:6" x14ac:dyDescent="0.15">
      <c r="A942" t="s">
        <v>4092</v>
      </c>
      <c r="C942" t="s">
        <v>3483</v>
      </c>
      <c r="F942" t="s">
        <v>58</v>
      </c>
    </row>
    <row r="943" spans="1:6" x14ac:dyDescent="0.15">
      <c r="A943" t="s">
        <v>4093</v>
      </c>
      <c r="C943" t="s">
        <v>3484</v>
      </c>
      <c r="F943" t="s">
        <v>1405</v>
      </c>
    </row>
    <row r="944" spans="1:6" x14ac:dyDescent="0.15">
      <c r="A944" t="s">
        <v>4094</v>
      </c>
      <c r="C944" t="s">
        <v>3485</v>
      </c>
      <c r="F944" t="s">
        <v>1406</v>
      </c>
    </row>
    <row r="945" spans="1:6" x14ac:dyDescent="0.15">
      <c r="A945" t="s">
        <v>4095</v>
      </c>
      <c r="C945" t="s">
        <v>3486</v>
      </c>
      <c r="F945" t="s">
        <v>1407</v>
      </c>
    </row>
    <row r="946" spans="1:6" x14ac:dyDescent="0.15">
      <c r="A946" t="s">
        <v>4096</v>
      </c>
      <c r="C946" t="s">
        <v>3487</v>
      </c>
      <c r="F946" t="s">
        <v>8</v>
      </c>
    </row>
    <row r="947" spans="1:6" x14ac:dyDescent="0.15">
      <c r="A947" t="s">
        <v>1452</v>
      </c>
      <c r="C947" t="s">
        <v>865</v>
      </c>
      <c r="F947" t="s">
        <v>1408</v>
      </c>
    </row>
    <row r="948" spans="1:6" x14ac:dyDescent="0.15">
      <c r="A948" t="s">
        <v>1229</v>
      </c>
      <c r="C948" t="s">
        <v>3488</v>
      </c>
      <c r="F948" t="s">
        <v>1409</v>
      </c>
    </row>
    <row r="949" spans="1:6" x14ac:dyDescent="0.15">
      <c r="A949" t="s">
        <v>4097</v>
      </c>
      <c r="C949" t="s">
        <v>3489</v>
      </c>
      <c r="F949" t="s">
        <v>1410</v>
      </c>
    </row>
    <row r="950" spans="1:6" x14ac:dyDescent="0.15">
      <c r="A950" t="s">
        <v>4098</v>
      </c>
      <c r="C950" t="s">
        <v>3490</v>
      </c>
      <c r="F950" t="s">
        <v>1411</v>
      </c>
    </row>
    <row r="951" spans="1:6" x14ac:dyDescent="0.15">
      <c r="A951" t="s">
        <v>4099</v>
      </c>
      <c r="C951" t="s">
        <v>2720</v>
      </c>
      <c r="F951" t="s">
        <v>1412</v>
      </c>
    </row>
    <row r="952" spans="1:6" x14ac:dyDescent="0.15">
      <c r="A952" t="s">
        <v>212</v>
      </c>
      <c r="C952" t="s">
        <v>3491</v>
      </c>
      <c r="F952" t="s">
        <v>1413</v>
      </c>
    </row>
    <row r="953" spans="1:6" x14ac:dyDescent="0.15">
      <c r="A953" t="s">
        <v>1796</v>
      </c>
      <c r="C953" t="s">
        <v>3492</v>
      </c>
      <c r="F953" t="s">
        <v>1414</v>
      </c>
    </row>
    <row r="954" spans="1:6" x14ac:dyDescent="0.15">
      <c r="A954" t="s">
        <v>1071</v>
      </c>
      <c r="C954" t="s">
        <v>3493</v>
      </c>
      <c r="F954" t="s">
        <v>1415</v>
      </c>
    </row>
    <row r="955" spans="1:6" x14ac:dyDescent="0.15">
      <c r="A955" t="s">
        <v>2743</v>
      </c>
      <c r="C955" t="s">
        <v>3494</v>
      </c>
      <c r="F955" t="s">
        <v>1416</v>
      </c>
    </row>
    <row r="956" spans="1:6" x14ac:dyDescent="0.15">
      <c r="A956" t="s">
        <v>27</v>
      </c>
      <c r="C956" t="s">
        <v>3495</v>
      </c>
      <c r="F956" t="s">
        <v>1417</v>
      </c>
    </row>
    <row r="957" spans="1:6" x14ac:dyDescent="0.15">
      <c r="A957" t="s">
        <v>4100</v>
      </c>
      <c r="C957" t="s">
        <v>3496</v>
      </c>
      <c r="F957" t="s">
        <v>1418</v>
      </c>
    </row>
    <row r="958" spans="1:6" x14ac:dyDescent="0.15">
      <c r="A958" t="s">
        <v>4101</v>
      </c>
      <c r="C958" t="s">
        <v>164</v>
      </c>
      <c r="F958" t="s">
        <v>1419</v>
      </c>
    </row>
    <row r="959" spans="1:6" x14ac:dyDescent="0.15">
      <c r="A959" t="s">
        <v>4102</v>
      </c>
      <c r="C959" t="s">
        <v>3497</v>
      </c>
      <c r="F959" t="s">
        <v>1420</v>
      </c>
    </row>
    <row r="960" spans="1:6" x14ac:dyDescent="0.15">
      <c r="A960" t="s">
        <v>4103</v>
      </c>
      <c r="C960" t="s">
        <v>3498</v>
      </c>
      <c r="F960" t="s">
        <v>1421</v>
      </c>
    </row>
    <row r="961" spans="1:6" x14ac:dyDescent="0.15">
      <c r="A961" t="s">
        <v>4103</v>
      </c>
      <c r="C961" t="s">
        <v>3499</v>
      </c>
      <c r="F961" t="s">
        <v>1422</v>
      </c>
    </row>
    <row r="962" spans="1:6" x14ac:dyDescent="0.15">
      <c r="A962" t="s">
        <v>4103</v>
      </c>
      <c r="C962" t="s">
        <v>3500</v>
      </c>
      <c r="F962" t="s">
        <v>1423</v>
      </c>
    </row>
    <row r="963" spans="1:6" x14ac:dyDescent="0.15">
      <c r="A963" t="s">
        <v>4103</v>
      </c>
      <c r="C963" t="s">
        <v>3501</v>
      </c>
      <c r="F963" t="s">
        <v>1424</v>
      </c>
    </row>
    <row r="964" spans="1:6" x14ac:dyDescent="0.15">
      <c r="A964" t="s">
        <v>4103</v>
      </c>
      <c r="C964" t="s">
        <v>3502</v>
      </c>
      <c r="F964" t="s">
        <v>1425</v>
      </c>
    </row>
    <row r="965" spans="1:6" x14ac:dyDescent="0.15">
      <c r="A965" t="s">
        <v>4103</v>
      </c>
      <c r="C965" t="s">
        <v>3503</v>
      </c>
      <c r="F965" t="s">
        <v>882</v>
      </c>
    </row>
    <row r="966" spans="1:6" x14ac:dyDescent="0.15">
      <c r="A966" t="s">
        <v>4103</v>
      </c>
      <c r="C966" t="s">
        <v>3504</v>
      </c>
      <c r="F966" t="s">
        <v>1426</v>
      </c>
    </row>
    <row r="967" spans="1:6" x14ac:dyDescent="0.15">
      <c r="A967" t="s">
        <v>4103</v>
      </c>
      <c r="C967" t="s">
        <v>3505</v>
      </c>
      <c r="F967" t="s">
        <v>1427</v>
      </c>
    </row>
    <row r="968" spans="1:6" x14ac:dyDescent="0.15">
      <c r="A968" t="s">
        <v>4103</v>
      </c>
      <c r="C968" t="s">
        <v>3506</v>
      </c>
      <c r="F968" t="s">
        <v>1428</v>
      </c>
    </row>
    <row r="969" spans="1:6" x14ac:dyDescent="0.15">
      <c r="A969" t="s">
        <v>4103</v>
      </c>
      <c r="C969" t="s">
        <v>3507</v>
      </c>
      <c r="F969" t="s">
        <v>1429</v>
      </c>
    </row>
    <row r="970" spans="1:6" x14ac:dyDescent="0.15">
      <c r="A970" t="s">
        <v>4103</v>
      </c>
      <c r="C970" t="s">
        <v>3508</v>
      </c>
      <c r="F970" t="s">
        <v>1430</v>
      </c>
    </row>
    <row r="971" spans="1:6" x14ac:dyDescent="0.15">
      <c r="A971" t="s">
        <v>4103</v>
      </c>
      <c r="C971" t="s">
        <v>3509</v>
      </c>
      <c r="F971" t="s">
        <v>1020</v>
      </c>
    </row>
    <row r="972" spans="1:6" x14ac:dyDescent="0.15">
      <c r="A972" t="s">
        <v>4103</v>
      </c>
      <c r="C972" t="s">
        <v>1581</v>
      </c>
      <c r="F972" t="s">
        <v>1431</v>
      </c>
    </row>
    <row r="973" spans="1:6" x14ac:dyDescent="0.15">
      <c r="A973" t="s">
        <v>4103</v>
      </c>
      <c r="C973" t="s">
        <v>3510</v>
      </c>
      <c r="F973" t="s">
        <v>1432</v>
      </c>
    </row>
    <row r="974" spans="1:6" x14ac:dyDescent="0.15">
      <c r="A974" t="s">
        <v>4103</v>
      </c>
      <c r="C974" t="s">
        <v>3511</v>
      </c>
      <c r="F974" t="s">
        <v>1433</v>
      </c>
    </row>
    <row r="975" spans="1:6" x14ac:dyDescent="0.15">
      <c r="A975" t="s">
        <v>4103</v>
      </c>
      <c r="C975" t="s">
        <v>3512</v>
      </c>
      <c r="F975" t="s">
        <v>1434</v>
      </c>
    </row>
    <row r="976" spans="1:6" x14ac:dyDescent="0.15">
      <c r="A976" t="s">
        <v>4103</v>
      </c>
      <c r="C976" t="s">
        <v>864</v>
      </c>
      <c r="F976" t="s">
        <v>1435</v>
      </c>
    </row>
    <row r="977" spans="1:6" x14ac:dyDescent="0.15">
      <c r="A977" t="s">
        <v>4103</v>
      </c>
      <c r="C977" t="s">
        <v>3513</v>
      </c>
      <c r="F977" t="s">
        <v>1436</v>
      </c>
    </row>
    <row r="978" spans="1:6" x14ac:dyDescent="0.15">
      <c r="A978" t="s">
        <v>4103</v>
      </c>
      <c r="C978" t="s">
        <v>2005</v>
      </c>
      <c r="F978" t="s">
        <v>1437</v>
      </c>
    </row>
    <row r="979" spans="1:6" x14ac:dyDescent="0.15">
      <c r="A979" t="s">
        <v>4103</v>
      </c>
      <c r="C979" t="s">
        <v>3514</v>
      </c>
      <c r="F979" t="s">
        <v>1438</v>
      </c>
    </row>
    <row r="980" spans="1:6" x14ac:dyDescent="0.15">
      <c r="A980" t="s">
        <v>4103</v>
      </c>
      <c r="C980" t="s">
        <v>3515</v>
      </c>
      <c r="F980" t="s">
        <v>1439</v>
      </c>
    </row>
    <row r="981" spans="1:6" x14ac:dyDescent="0.15">
      <c r="A981" t="s">
        <v>4103</v>
      </c>
      <c r="C981" t="s">
        <v>3516</v>
      </c>
      <c r="F981" t="s">
        <v>1440</v>
      </c>
    </row>
    <row r="982" spans="1:6" x14ac:dyDescent="0.15">
      <c r="A982" t="s">
        <v>4103</v>
      </c>
      <c r="C982" t="s">
        <v>3517</v>
      </c>
      <c r="F982" t="s">
        <v>1441</v>
      </c>
    </row>
    <row r="983" spans="1:6" x14ac:dyDescent="0.15">
      <c r="A983" t="s">
        <v>4103</v>
      </c>
      <c r="C983" t="s">
        <v>3518</v>
      </c>
      <c r="F983" t="s">
        <v>1442</v>
      </c>
    </row>
    <row r="984" spans="1:6" x14ac:dyDescent="0.15">
      <c r="A984" t="s">
        <v>4103</v>
      </c>
      <c r="C984" t="s">
        <v>3519</v>
      </c>
      <c r="F984" t="s">
        <v>1443</v>
      </c>
    </row>
    <row r="985" spans="1:6" x14ac:dyDescent="0.15">
      <c r="A985" t="s">
        <v>4103</v>
      </c>
      <c r="C985" t="s">
        <v>3520</v>
      </c>
      <c r="F985" t="s">
        <v>1444</v>
      </c>
    </row>
    <row r="986" spans="1:6" x14ac:dyDescent="0.15">
      <c r="A986" t="s">
        <v>4103</v>
      </c>
      <c r="C986" t="s">
        <v>3521</v>
      </c>
      <c r="F986" t="s">
        <v>57</v>
      </c>
    </row>
    <row r="987" spans="1:6" x14ac:dyDescent="0.15">
      <c r="A987" t="s">
        <v>4103</v>
      </c>
      <c r="C987" t="s">
        <v>3522</v>
      </c>
      <c r="F987" t="s">
        <v>1445</v>
      </c>
    </row>
    <row r="988" spans="1:6" x14ac:dyDescent="0.15">
      <c r="A988" t="s">
        <v>4103</v>
      </c>
      <c r="C988" t="s">
        <v>3523</v>
      </c>
      <c r="F988" t="s">
        <v>1446</v>
      </c>
    </row>
    <row r="989" spans="1:6" x14ac:dyDescent="0.15">
      <c r="A989" t="s">
        <v>4103</v>
      </c>
      <c r="C989" t="s">
        <v>3524</v>
      </c>
      <c r="F989" t="s">
        <v>1447</v>
      </c>
    </row>
    <row r="990" spans="1:6" x14ac:dyDescent="0.15">
      <c r="A990" t="s">
        <v>4103</v>
      </c>
      <c r="C990" t="s">
        <v>3525</v>
      </c>
      <c r="F990" t="s">
        <v>1448</v>
      </c>
    </row>
    <row r="991" spans="1:6" x14ac:dyDescent="0.15">
      <c r="A991" t="s">
        <v>4103</v>
      </c>
      <c r="C991" t="s">
        <v>3526</v>
      </c>
      <c r="F991" t="s">
        <v>1449</v>
      </c>
    </row>
    <row r="992" spans="1:6" x14ac:dyDescent="0.15">
      <c r="A992" t="s">
        <v>4103</v>
      </c>
      <c r="C992" t="s">
        <v>3527</v>
      </c>
      <c r="F992" t="s">
        <v>1450</v>
      </c>
    </row>
    <row r="993" spans="1:6" x14ac:dyDescent="0.15">
      <c r="A993" t="s">
        <v>4103</v>
      </c>
      <c r="C993" t="s">
        <v>3528</v>
      </c>
      <c r="F993" t="s">
        <v>108</v>
      </c>
    </row>
    <row r="994" spans="1:6" x14ac:dyDescent="0.15">
      <c r="A994" t="s">
        <v>4103</v>
      </c>
      <c r="C994" t="s">
        <v>3529</v>
      </c>
      <c r="F994" t="s">
        <v>1451</v>
      </c>
    </row>
    <row r="995" spans="1:6" x14ac:dyDescent="0.15">
      <c r="A995" t="s">
        <v>4103</v>
      </c>
      <c r="C995" t="s">
        <v>3530</v>
      </c>
      <c r="F995" t="s">
        <v>1452</v>
      </c>
    </row>
    <row r="996" spans="1:6" x14ac:dyDescent="0.15">
      <c r="A996" t="s">
        <v>4103</v>
      </c>
      <c r="C996" t="s">
        <v>3531</v>
      </c>
      <c r="F996" t="s">
        <v>1453</v>
      </c>
    </row>
    <row r="997" spans="1:6" x14ac:dyDescent="0.15">
      <c r="A997" t="s">
        <v>4103</v>
      </c>
      <c r="C997" t="s">
        <v>3532</v>
      </c>
      <c r="F997" t="s">
        <v>1454</v>
      </c>
    </row>
    <row r="998" spans="1:6" x14ac:dyDescent="0.15">
      <c r="A998" t="s">
        <v>4103</v>
      </c>
      <c r="C998" t="s">
        <v>3533</v>
      </c>
      <c r="F998" t="s">
        <v>1455</v>
      </c>
    </row>
    <row r="999" spans="1:6" x14ac:dyDescent="0.15">
      <c r="A999" t="s">
        <v>4103</v>
      </c>
      <c r="C999" t="s">
        <v>1079</v>
      </c>
      <c r="F999" t="s">
        <v>1456</v>
      </c>
    </row>
    <row r="1000" spans="1:6" x14ac:dyDescent="0.15">
      <c r="A1000" t="s">
        <v>4103</v>
      </c>
      <c r="C1000" t="s">
        <v>3534</v>
      </c>
      <c r="F1000" t="s">
        <v>1457</v>
      </c>
    </row>
    <row r="1001" spans="1:6" x14ac:dyDescent="0.15">
      <c r="A1001" t="s">
        <v>4103</v>
      </c>
      <c r="C1001" t="s">
        <v>3535</v>
      </c>
      <c r="F1001" t="s">
        <v>1458</v>
      </c>
    </row>
    <row r="1002" spans="1:6" x14ac:dyDescent="0.15">
      <c r="A1002" t="s">
        <v>4103</v>
      </c>
      <c r="C1002" t="s">
        <v>3536</v>
      </c>
      <c r="F1002" t="s">
        <v>1459</v>
      </c>
    </row>
    <row r="1003" spans="1:6" x14ac:dyDescent="0.15">
      <c r="A1003" t="s">
        <v>4103</v>
      </c>
      <c r="C1003" t="s">
        <v>3537</v>
      </c>
      <c r="F1003" t="s">
        <v>1460</v>
      </c>
    </row>
    <row r="1004" spans="1:6" x14ac:dyDescent="0.15">
      <c r="A1004" t="s">
        <v>4103</v>
      </c>
      <c r="C1004" t="s">
        <v>3538</v>
      </c>
      <c r="F1004" t="s">
        <v>1461</v>
      </c>
    </row>
    <row r="1005" spans="1:6" x14ac:dyDescent="0.15">
      <c r="A1005" t="s">
        <v>4103</v>
      </c>
      <c r="C1005" t="s">
        <v>3539</v>
      </c>
      <c r="F1005" t="s">
        <v>1462</v>
      </c>
    </row>
    <row r="1006" spans="1:6" x14ac:dyDescent="0.15">
      <c r="A1006" t="s">
        <v>4103</v>
      </c>
      <c r="C1006" t="s">
        <v>3540</v>
      </c>
      <c r="F1006" t="s">
        <v>1463</v>
      </c>
    </row>
    <row r="1007" spans="1:6" x14ac:dyDescent="0.15">
      <c r="A1007" t="s">
        <v>4103</v>
      </c>
      <c r="C1007" t="s">
        <v>3541</v>
      </c>
      <c r="F1007" t="s">
        <v>1464</v>
      </c>
    </row>
    <row r="1008" spans="1:6" x14ac:dyDescent="0.15">
      <c r="A1008" t="s">
        <v>4103</v>
      </c>
      <c r="C1008" t="s">
        <v>3542</v>
      </c>
      <c r="F1008" t="s">
        <v>1465</v>
      </c>
    </row>
    <row r="1009" spans="1:6" x14ac:dyDescent="0.15">
      <c r="A1009" t="s">
        <v>4103</v>
      </c>
      <c r="C1009" t="s">
        <v>3543</v>
      </c>
      <c r="F1009" t="s">
        <v>1466</v>
      </c>
    </row>
    <row r="1010" spans="1:6" x14ac:dyDescent="0.15">
      <c r="A1010" t="s">
        <v>4103</v>
      </c>
      <c r="C1010" t="s">
        <v>3544</v>
      </c>
      <c r="F1010" t="s">
        <v>1467</v>
      </c>
    </row>
    <row r="1011" spans="1:6" x14ac:dyDescent="0.15">
      <c r="A1011" t="s">
        <v>4103</v>
      </c>
      <c r="C1011" t="s">
        <v>3545</v>
      </c>
      <c r="F1011" t="s">
        <v>1468</v>
      </c>
    </row>
    <row r="1012" spans="1:6" x14ac:dyDescent="0.15">
      <c r="A1012" t="s">
        <v>4103</v>
      </c>
      <c r="C1012" t="s">
        <v>3546</v>
      </c>
      <c r="F1012" t="s">
        <v>1469</v>
      </c>
    </row>
    <row r="1013" spans="1:6" x14ac:dyDescent="0.15">
      <c r="A1013" t="s">
        <v>4103</v>
      </c>
      <c r="C1013" t="s">
        <v>3547</v>
      </c>
      <c r="F1013" t="s">
        <v>1470</v>
      </c>
    </row>
    <row r="1014" spans="1:6" x14ac:dyDescent="0.15">
      <c r="A1014" t="s">
        <v>4103</v>
      </c>
      <c r="C1014" t="s">
        <v>3548</v>
      </c>
      <c r="F1014" t="s">
        <v>1471</v>
      </c>
    </row>
    <row r="1015" spans="1:6" x14ac:dyDescent="0.15">
      <c r="A1015" t="s">
        <v>4103</v>
      </c>
      <c r="C1015" t="s">
        <v>3549</v>
      </c>
      <c r="F1015" t="s">
        <v>1472</v>
      </c>
    </row>
    <row r="1016" spans="1:6" x14ac:dyDescent="0.15">
      <c r="A1016" t="s">
        <v>4103</v>
      </c>
      <c r="C1016" t="s">
        <v>3550</v>
      </c>
      <c r="F1016" t="s">
        <v>1473</v>
      </c>
    </row>
    <row r="1017" spans="1:6" x14ac:dyDescent="0.15">
      <c r="A1017" t="s">
        <v>4103</v>
      </c>
      <c r="C1017" t="s">
        <v>3551</v>
      </c>
      <c r="F1017" t="s">
        <v>1474</v>
      </c>
    </row>
    <row r="1018" spans="1:6" x14ac:dyDescent="0.15">
      <c r="A1018" t="s">
        <v>4103</v>
      </c>
      <c r="C1018" t="s">
        <v>3552</v>
      </c>
      <c r="F1018" t="s">
        <v>1475</v>
      </c>
    </row>
    <row r="1019" spans="1:6" x14ac:dyDescent="0.15">
      <c r="A1019" t="s">
        <v>4103</v>
      </c>
      <c r="C1019" t="s">
        <v>3553</v>
      </c>
      <c r="F1019" t="s">
        <v>1476</v>
      </c>
    </row>
    <row r="1020" spans="1:6" x14ac:dyDescent="0.15">
      <c r="A1020" t="s">
        <v>4103</v>
      </c>
      <c r="C1020" t="s">
        <v>3554</v>
      </c>
      <c r="F1020" t="s">
        <v>1477</v>
      </c>
    </row>
    <row r="1021" spans="1:6" x14ac:dyDescent="0.15">
      <c r="A1021" t="s">
        <v>4103</v>
      </c>
      <c r="C1021" t="s">
        <v>3555</v>
      </c>
      <c r="F1021" t="s">
        <v>1478</v>
      </c>
    </row>
    <row r="1022" spans="1:6" x14ac:dyDescent="0.15">
      <c r="A1022" t="s">
        <v>4103</v>
      </c>
      <c r="C1022" t="s">
        <v>3556</v>
      </c>
      <c r="F1022" t="s">
        <v>1479</v>
      </c>
    </row>
    <row r="1023" spans="1:6" x14ac:dyDescent="0.15">
      <c r="A1023" t="s">
        <v>4103</v>
      </c>
      <c r="C1023" t="s">
        <v>3557</v>
      </c>
      <c r="F1023" t="s">
        <v>886</v>
      </c>
    </row>
    <row r="1024" spans="1:6" x14ac:dyDescent="0.15">
      <c r="A1024" t="s">
        <v>4103</v>
      </c>
      <c r="C1024" t="s">
        <v>3558</v>
      </c>
      <c r="F1024" t="s">
        <v>1480</v>
      </c>
    </row>
    <row r="1025" spans="1:6" x14ac:dyDescent="0.15">
      <c r="A1025" t="s">
        <v>4103</v>
      </c>
      <c r="C1025" t="s">
        <v>3559</v>
      </c>
      <c r="F1025" t="s">
        <v>1481</v>
      </c>
    </row>
    <row r="1026" spans="1:6" x14ac:dyDescent="0.15">
      <c r="A1026" t="s">
        <v>4103</v>
      </c>
      <c r="C1026" t="s">
        <v>3560</v>
      </c>
      <c r="F1026" t="s">
        <v>1482</v>
      </c>
    </row>
    <row r="1027" spans="1:6" x14ac:dyDescent="0.15">
      <c r="A1027" t="s">
        <v>4103</v>
      </c>
      <c r="C1027" t="s">
        <v>3561</v>
      </c>
      <c r="F1027" t="s">
        <v>1483</v>
      </c>
    </row>
    <row r="1028" spans="1:6" x14ac:dyDescent="0.15">
      <c r="A1028" t="s">
        <v>4103</v>
      </c>
      <c r="C1028" t="s">
        <v>2121</v>
      </c>
      <c r="F1028" t="s">
        <v>1484</v>
      </c>
    </row>
    <row r="1029" spans="1:6" x14ac:dyDescent="0.15">
      <c r="A1029" t="s">
        <v>4103</v>
      </c>
      <c r="C1029" t="s">
        <v>3562</v>
      </c>
      <c r="F1029" t="s">
        <v>1485</v>
      </c>
    </row>
    <row r="1030" spans="1:6" x14ac:dyDescent="0.15">
      <c r="A1030" t="s">
        <v>4103</v>
      </c>
      <c r="C1030" t="s">
        <v>3563</v>
      </c>
      <c r="F1030" t="s">
        <v>1486</v>
      </c>
    </row>
    <row r="1031" spans="1:6" x14ac:dyDescent="0.15">
      <c r="A1031" t="s">
        <v>4103</v>
      </c>
      <c r="C1031" t="s">
        <v>3564</v>
      </c>
      <c r="F1031" t="s">
        <v>1487</v>
      </c>
    </row>
    <row r="1032" spans="1:6" x14ac:dyDescent="0.15">
      <c r="A1032" t="s">
        <v>4103</v>
      </c>
      <c r="C1032" t="s">
        <v>3565</v>
      </c>
      <c r="F1032" t="s">
        <v>1488</v>
      </c>
    </row>
    <row r="1033" spans="1:6" x14ac:dyDescent="0.15">
      <c r="A1033" t="s">
        <v>4103</v>
      </c>
      <c r="C1033" t="s">
        <v>3566</v>
      </c>
      <c r="F1033" t="s">
        <v>1489</v>
      </c>
    </row>
    <row r="1034" spans="1:6" x14ac:dyDescent="0.15">
      <c r="A1034" t="s">
        <v>4103</v>
      </c>
      <c r="C1034" t="s">
        <v>3567</v>
      </c>
      <c r="F1034" t="s">
        <v>137</v>
      </c>
    </row>
    <row r="1035" spans="1:6" x14ac:dyDescent="0.15">
      <c r="A1035" t="s">
        <v>4103</v>
      </c>
      <c r="C1035" t="s">
        <v>3568</v>
      </c>
      <c r="F1035" t="s">
        <v>1490</v>
      </c>
    </row>
    <row r="1036" spans="1:6" x14ac:dyDescent="0.15">
      <c r="A1036" t="s">
        <v>4103</v>
      </c>
      <c r="C1036" t="s">
        <v>3569</v>
      </c>
      <c r="F1036" t="s">
        <v>1491</v>
      </c>
    </row>
    <row r="1037" spans="1:6" x14ac:dyDescent="0.15">
      <c r="A1037" t="s">
        <v>4103</v>
      </c>
      <c r="C1037" t="s">
        <v>3570</v>
      </c>
      <c r="F1037" t="s">
        <v>1492</v>
      </c>
    </row>
    <row r="1038" spans="1:6" x14ac:dyDescent="0.15">
      <c r="A1038" t="s">
        <v>4103</v>
      </c>
      <c r="C1038" t="s">
        <v>3571</v>
      </c>
      <c r="F1038" t="s">
        <v>1493</v>
      </c>
    </row>
    <row r="1039" spans="1:6" x14ac:dyDescent="0.15">
      <c r="A1039" t="s">
        <v>4103</v>
      </c>
      <c r="C1039" t="s">
        <v>3572</v>
      </c>
      <c r="F1039" t="s">
        <v>1494</v>
      </c>
    </row>
    <row r="1040" spans="1:6" x14ac:dyDescent="0.15">
      <c r="A1040" t="s">
        <v>4103</v>
      </c>
      <c r="C1040" t="s">
        <v>3573</v>
      </c>
      <c r="F1040" t="s">
        <v>1495</v>
      </c>
    </row>
    <row r="1041" spans="1:6" x14ac:dyDescent="0.15">
      <c r="A1041" t="s">
        <v>4103</v>
      </c>
      <c r="C1041" t="s">
        <v>1061</v>
      </c>
      <c r="F1041" t="s">
        <v>1496</v>
      </c>
    </row>
    <row r="1042" spans="1:6" x14ac:dyDescent="0.15">
      <c r="A1042" t="s">
        <v>4103</v>
      </c>
      <c r="C1042" t="s">
        <v>3574</v>
      </c>
      <c r="F1042" t="s">
        <v>1497</v>
      </c>
    </row>
    <row r="1043" spans="1:6" x14ac:dyDescent="0.15">
      <c r="A1043" t="s">
        <v>4103</v>
      </c>
      <c r="C1043" t="s">
        <v>1038</v>
      </c>
      <c r="F1043" t="s">
        <v>1498</v>
      </c>
    </row>
    <row r="1044" spans="1:6" x14ac:dyDescent="0.15">
      <c r="A1044" t="s">
        <v>4103</v>
      </c>
      <c r="C1044" t="s">
        <v>1041</v>
      </c>
      <c r="F1044" t="s">
        <v>1499</v>
      </c>
    </row>
    <row r="1045" spans="1:6" x14ac:dyDescent="0.15">
      <c r="A1045" t="s">
        <v>4103</v>
      </c>
      <c r="C1045" t="s">
        <v>3575</v>
      </c>
      <c r="F1045" t="s">
        <v>1500</v>
      </c>
    </row>
    <row r="1046" spans="1:6" x14ac:dyDescent="0.15">
      <c r="A1046" t="s">
        <v>4103</v>
      </c>
      <c r="C1046" t="s">
        <v>3576</v>
      </c>
      <c r="F1046" t="s">
        <v>1501</v>
      </c>
    </row>
    <row r="1047" spans="1:6" x14ac:dyDescent="0.15">
      <c r="A1047" t="s">
        <v>4103</v>
      </c>
      <c r="C1047" t="s">
        <v>3577</v>
      </c>
      <c r="F1047" t="s">
        <v>1502</v>
      </c>
    </row>
    <row r="1048" spans="1:6" x14ac:dyDescent="0.15">
      <c r="A1048" t="s">
        <v>4103</v>
      </c>
      <c r="C1048" t="s">
        <v>3578</v>
      </c>
      <c r="F1048" t="s">
        <v>1503</v>
      </c>
    </row>
    <row r="1049" spans="1:6" x14ac:dyDescent="0.15">
      <c r="A1049" t="s">
        <v>4103</v>
      </c>
      <c r="C1049" t="s">
        <v>3579</v>
      </c>
      <c r="F1049" t="s">
        <v>1504</v>
      </c>
    </row>
    <row r="1050" spans="1:6" x14ac:dyDescent="0.15">
      <c r="A1050" t="s">
        <v>4103</v>
      </c>
      <c r="C1050" t="s">
        <v>3580</v>
      </c>
      <c r="F1050" t="s">
        <v>1505</v>
      </c>
    </row>
    <row r="1051" spans="1:6" x14ac:dyDescent="0.15">
      <c r="A1051" t="s">
        <v>4103</v>
      </c>
      <c r="C1051" t="s">
        <v>3581</v>
      </c>
      <c r="F1051" t="s">
        <v>1506</v>
      </c>
    </row>
    <row r="1052" spans="1:6" x14ac:dyDescent="0.15">
      <c r="A1052" t="s">
        <v>4103</v>
      </c>
      <c r="C1052" t="s">
        <v>898</v>
      </c>
      <c r="F1052" t="s">
        <v>1507</v>
      </c>
    </row>
    <row r="1053" spans="1:6" x14ac:dyDescent="0.15">
      <c r="A1053" t="s">
        <v>4103</v>
      </c>
      <c r="C1053" t="s">
        <v>1096</v>
      </c>
      <c r="F1053" t="s">
        <v>1508</v>
      </c>
    </row>
    <row r="1054" spans="1:6" x14ac:dyDescent="0.15">
      <c r="A1054" t="s">
        <v>4103</v>
      </c>
      <c r="C1054" t="s">
        <v>3582</v>
      </c>
      <c r="F1054" t="s">
        <v>1509</v>
      </c>
    </row>
    <row r="1055" spans="1:6" x14ac:dyDescent="0.15">
      <c r="A1055" t="s">
        <v>4103</v>
      </c>
      <c r="C1055" t="s">
        <v>3583</v>
      </c>
      <c r="F1055" t="s">
        <v>1510</v>
      </c>
    </row>
    <row r="1056" spans="1:6" x14ac:dyDescent="0.15">
      <c r="A1056" t="s">
        <v>4103</v>
      </c>
      <c r="C1056" t="s">
        <v>3584</v>
      </c>
      <c r="F1056" t="s">
        <v>1511</v>
      </c>
    </row>
    <row r="1057" spans="1:6" x14ac:dyDescent="0.15">
      <c r="A1057" t="s">
        <v>4103</v>
      </c>
      <c r="C1057" t="s">
        <v>3585</v>
      </c>
      <c r="F1057" t="s">
        <v>1512</v>
      </c>
    </row>
    <row r="1058" spans="1:6" x14ac:dyDescent="0.15">
      <c r="A1058" t="s">
        <v>4103</v>
      </c>
      <c r="C1058" t="s">
        <v>3586</v>
      </c>
      <c r="F1058" t="s">
        <v>1513</v>
      </c>
    </row>
    <row r="1059" spans="1:6" x14ac:dyDescent="0.15">
      <c r="A1059" t="s">
        <v>4103</v>
      </c>
      <c r="C1059" t="s">
        <v>3587</v>
      </c>
      <c r="F1059" t="s">
        <v>1514</v>
      </c>
    </row>
    <row r="1060" spans="1:6" x14ac:dyDescent="0.15">
      <c r="A1060" t="s">
        <v>4103</v>
      </c>
      <c r="C1060" t="s">
        <v>3588</v>
      </c>
      <c r="F1060" t="s">
        <v>1515</v>
      </c>
    </row>
    <row r="1061" spans="1:6" x14ac:dyDescent="0.15">
      <c r="A1061" t="s">
        <v>4103</v>
      </c>
      <c r="C1061" t="s">
        <v>3589</v>
      </c>
      <c r="F1061" t="s">
        <v>1516</v>
      </c>
    </row>
    <row r="1062" spans="1:6" x14ac:dyDescent="0.15">
      <c r="A1062" t="s">
        <v>4103</v>
      </c>
      <c r="C1062" t="s">
        <v>3590</v>
      </c>
      <c r="F1062" t="s">
        <v>1517</v>
      </c>
    </row>
    <row r="1063" spans="1:6" x14ac:dyDescent="0.15">
      <c r="A1063" t="s">
        <v>4103</v>
      </c>
      <c r="C1063" t="s">
        <v>3591</v>
      </c>
      <c r="F1063" t="s">
        <v>1518</v>
      </c>
    </row>
    <row r="1064" spans="1:6" x14ac:dyDescent="0.15">
      <c r="A1064" t="s">
        <v>4103</v>
      </c>
      <c r="C1064" t="s">
        <v>3592</v>
      </c>
      <c r="F1064" t="s">
        <v>1519</v>
      </c>
    </row>
    <row r="1065" spans="1:6" x14ac:dyDescent="0.15">
      <c r="A1065" t="s">
        <v>4103</v>
      </c>
      <c r="C1065" t="s">
        <v>3593</v>
      </c>
      <c r="F1065" t="s">
        <v>1520</v>
      </c>
    </row>
    <row r="1066" spans="1:6" x14ac:dyDescent="0.15">
      <c r="A1066" t="s">
        <v>4103</v>
      </c>
      <c r="C1066" t="s">
        <v>3594</v>
      </c>
      <c r="F1066" t="s">
        <v>1521</v>
      </c>
    </row>
    <row r="1067" spans="1:6" x14ac:dyDescent="0.15">
      <c r="A1067" t="s">
        <v>4103</v>
      </c>
      <c r="C1067" t="s">
        <v>3595</v>
      </c>
      <c r="F1067" t="s">
        <v>1522</v>
      </c>
    </row>
    <row r="1068" spans="1:6" x14ac:dyDescent="0.15">
      <c r="A1068" t="s">
        <v>4103</v>
      </c>
      <c r="C1068" t="s">
        <v>3596</v>
      </c>
      <c r="F1068" t="s">
        <v>1523</v>
      </c>
    </row>
    <row r="1069" spans="1:6" x14ac:dyDescent="0.15">
      <c r="A1069" t="s">
        <v>4103</v>
      </c>
      <c r="C1069" t="s">
        <v>3597</v>
      </c>
      <c r="F1069" t="s">
        <v>1524</v>
      </c>
    </row>
    <row r="1070" spans="1:6" x14ac:dyDescent="0.15">
      <c r="A1070" t="s">
        <v>4103</v>
      </c>
      <c r="C1070" t="s">
        <v>3598</v>
      </c>
      <c r="F1070" t="s">
        <v>1525</v>
      </c>
    </row>
    <row r="1071" spans="1:6" x14ac:dyDescent="0.15">
      <c r="A1071" t="s">
        <v>4103</v>
      </c>
      <c r="C1071" t="s">
        <v>3599</v>
      </c>
      <c r="F1071" t="s">
        <v>1526</v>
      </c>
    </row>
    <row r="1072" spans="1:6" x14ac:dyDescent="0.15">
      <c r="A1072" t="s">
        <v>4103</v>
      </c>
      <c r="C1072" t="s">
        <v>3600</v>
      </c>
      <c r="F1072" t="s">
        <v>1527</v>
      </c>
    </row>
    <row r="1073" spans="1:6" x14ac:dyDescent="0.15">
      <c r="A1073" t="s">
        <v>4103</v>
      </c>
      <c r="C1073" t="s">
        <v>3601</v>
      </c>
      <c r="F1073" t="s">
        <v>1528</v>
      </c>
    </row>
    <row r="1074" spans="1:6" x14ac:dyDescent="0.15">
      <c r="A1074" t="s">
        <v>4103</v>
      </c>
      <c r="C1074" t="s">
        <v>3602</v>
      </c>
      <c r="F1074" t="s">
        <v>1529</v>
      </c>
    </row>
    <row r="1075" spans="1:6" x14ac:dyDescent="0.15">
      <c r="A1075" t="s">
        <v>4103</v>
      </c>
      <c r="C1075" t="s">
        <v>973</v>
      </c>
      <c r="F1075" t="s">
        <v>1530</v>
      </c>
    </row>
    <row r="1076" spans="1:6" x14ac:dyDescent="0.15">
      <c r="A1076" t="s">
        <v>4103</v>
      </c>
      <c r="C1076" t="s">
        <v>3603</v>
      </c>
      <c r="F1076" t="s">
        <v>1531</v>
      </c>
    </row>
    <row r="1077" spans="1:6" x14ac:dyDescent="0.15">
      <c r="A1077" t="s">
        <v>4103</v>
      </c>
      <c r="C1077" t="s">
        <v>3604</v>
      </c>
      <c r="F1077" t="s">
        <v>1532</v>
      </c>
    </row>
    <row r="1078" spans="1:6" x14ac:dyDescent="0.15">
      <c r="A1078" t="s">
        <v>4103</v>
      </c>
      <c r="C1078" t="s">
        <v>3605</v>
      </c>
      <c r="F1078" t="s">
        <v>1533</v>
      </c>
    </row>
    <row r="1079" spans="1:6" x14ac:dyDescent="0.15">
      <c r="A1079" t="s">
        <v>4103</v>
      </c>
      <c r="C1079" t="s">
        <v>3606</v>
      </c>
      <c r="F1079" t="s">
        <v>1534</v>
      </c>
    </row>
    <row r="1080" spans="1:6" x14ac:dyDescent="0.15">
      <c r="A1080" t="s">
        <v>4103</v>
      </c>
      <c r="C1080" t="s">
        <v>3607</v>
      </c>
      <c r="F1080" t="s">
        <v>1535</v>
      </c>
    </row>
    <row r="1081" spans="1:6" x14ac:dyDescent="0.15">
      <c r="A1081" t="s">
        <v>4103</v>
      </c>
      <c r="C1081" t="s">
        <v>3608</v>
      </c>
      <c r="F1081" t="s">
        <v>1536</v>
      </c>
    </row>
    <row r="1082" spans="1:6" x14ac:dyDescent="0.15">
      <c r="A1082" t="s">
        <v>4103</v>
      </c>
      <c r="C1082" t="s">
        <v>3609</v>
      </c>
      <c r="F1082" t="s">
        <v>1537</v>
      </c>
    </row>
    <row r="1083" spans="1:6" x14ac:dyDescent="0.15">
      <c r="A1083" t="s">
        <v>4103</v>
      </c>
      <c r="C1083" t="s">
        <v>3610</v>
      </c>
      <c r="F1083" t="s">
        <v>1538</v>
      </c>
    </row>
    <row r="1084" spans="1:6" x14ac:dyDescent="0.15">
      <c r="A1084" t="s">
        <v>4103</v>
      </c>
      <c r="C1084" t="s">
        <v>3611</v>
      </c>
      <c r="F1084" t="s">
        <v>1539</v>
      </c>
    </row>
    <row r="1085" spans="1:6" x14ac:dyDescent="0.15">
      <c r="A1085" t="s">
        <v>4103</v>
      </c>
      <c r="C1085" t="s">
        <v>1036</v>
      </c>
      <c r="F1085" t="s">
        <v>1540</v>
      </c>
    </row>
    <row r="1086" spans="1:6" x14ac:dyDescent="0.15">
      <c r="A1086" t="s">
        <v>4103</v>
      </c>
      <c r="C1086" t="s">
        <v>3612</v>
      </c>
      <c r="F1086" t="s">
        <v>1541</v>
      </c>
    </row>
    <row r="1087" spans="1:6" x14ac:dyDescent="0.15">
      <c r="A1087" t="s">
        <v>4103</v>
      </c>
      <c r="C1087" t="s">
        <v>1006</v>
      </c>
      <c r="F1087" t="s">
        <v>1542</v>
      </c>
    </row>
    <row r="1088" spans="1:6" x14ac:dyDescent="0.15">
      <c r="A1088" t="s">
        <v>4103</v>
      </c>
      <c r="C1088" t="s">
        <v>3613</v>
      </c>
      <c r="F1088" t="s">
        <v>1543</v>
      </c>
    </row>
    <row r="1089" spans="1:6" x14ac:dyDescent="0.15">
      <c r="A1089" t="s">
        <v>4103</v>
      </c>
      <c r="C1089" t="s">
        <v>3614</v>
      </c>
      <c r="F1089" t="s">
        <v>1544</v>
      </c>
    </row>
    <row r="1090" spans="1:6" x14ac:dyDescent="0.15">
      <c r="A1090" t="s">
        <v>4103</v>
      </c>
      <c r="C1090" t="s">
        <v>3615</v>
      </c>
      <c r="F1090" t="s">
        <v>1545</v>
      </c>
    </row>
    <row r="1091" spans="1:6" x14ac:dyDescent="0.15">
      <c r="A1091" t="s">
        <v>4103</v>
      </c>
      <c r="C1091" t="s">
        <v>3616</v>
      </c>
      <c r="F1091" t="s">
        <v>1546</v>
      </c>
    </row>
    <row r="1092" spans="1:6" x14ac:dyDescent="0.15">
      <c r="A1092" t="s">
        <v>4103</v>
      </c>
      <c r="C1092" t="s">
        <v>3617</v>
      </c>
      <c r="F1092" t="s">
        <v>1547</v>
      </c>
    </row>
    <row r="1093" spans="1:6" x14ac:dyDescent="0.15">
      <c r="A1093" t="s">
        <v>4103</v>
      </c>
      <c r="C1093" t="s">
        <v>3618</v>
      </c>
      <c r="F1093" t="s">
        <v>83</v>
      </c>
    </row>
    <row r="1094" spans="1:6" x14ac:dyDescent="0.15">
      <c r="A1094" t="s">
        <v>4103</v>
      </c>
      <c r="C1094" t="s">
        <v>3619</v>
      </c>
      <c r="F1094" t="s">
        <v>35</v>
      </c>
    </row>
    <row r="1095" spans="1:6" x14ac:dyDescent="0.15">
      <c r="A1095" t="s">
        <v>4103</v>
      </c>
      <c r="C1095" t="s">
        <v>985</v>
      </c>
      <c r="F1095" t="s">
        <v>114</v>
      </c>
    </row>
    <row r="1096" spans="1:6" x14ac:dyDescent="0.15">
      <c r="A1096" t="s">
        <v>4103</v>
      </c>
      <c r="C1096" t="s">
        <v>1064</v>
      </c>
      <c r="F1096" t="s">
        <v>127</v>
      </c>
    </row>
    <row r="1097" spans="1:6" x14ac:dyDescent="0.15">
      <c r="A1097" t="s">
        <v>4103</v>
      </c>
      <c r="C1097" t="s">
        <v>3620</v>
      </c>
      <c r="F1097" t="s">
        <v>1548</v>
      </c>
    </row>
    <row r="1098" spans="1:6" x14ac:dyDescent="0.15">
      <c r="A1098" t="s">
        <v>4103</v>
      </c>
      <c r="C1098" t="s">
        <v>3621</v>
      </c>
      <c r="F1098" t="s">
        <v>1549</v>
      </c>
    </row>
    <row r="1099" spans="1:6" x14ac:dyDescent="0.15">
      <c r="A1099" t="s">
        <v>4103</v>
      </c>
      <c r="C1099" t="s">
        <v>3622</v>
      </c>
      <c r="F1099" t="s">
        <v>1550</v>
      </c>
    </row>
    <row r="1100" spans="1:6" x14ac:dyDescent="0.15">
      <c r="A1100" t="s">
        <v>4103</v>
      </c>
      <c r="C1100" t="s">
        <v>3623</v>
      </c>
      <c r="F1100" t="s">
        <v>1551</v>
      </c>
    </row>
    <row r="1101" spans="1:6" x14ac:dyDescent="0.15">
      <c r="A1101" t="s">
        <v>4103</v>
      </c>
      <c r="C1101" t="s">
        <v>3624</v>
      </c>
      <c r="F1101" t="s">
        <v>1552</v>
      </c>
    </row>
    <row r="1102" spans="1:6" x14ac:dyDescent="0.15">
      <c r="A1102" t="s">
        <v>4103</v>
      </c>
      <c r="C1102" t="s">
        <v>3625</v>
      </c>
      <c r="F1102" t="s">
        <v>131</v>
      </c>
    </row>
    <row r="1103" spans="1:6" x14ac:dyDescent="0.15">
      <c r="A1103" t="s">
        <v>4103</v>
      </c>
      <c r="C1103" t="s">
        <v>3626</v>
      </c>
      <c r="F1103" t="s">
        <v>1553</v>
      </c>
    </row>
    <row r="1104" spans="1:6" x14ac:dyDescent="0.15">
      <c r="A1104" t="s">
        <v>4103</v>
      </c>
      <c r="C1104" t="s">
        <v>3627</v>
      </c>
      <c r="F1104" t="s">
        <v>1554</v>
      </c>
    </row>
    <row r="1105" spans="1:6" x14ac:dyDescent="0.15">
      <c r="A1105" t="s">
        <v>4103</v>
      </c>
      <c r="C1105" t="s">
        <v>3628</v>
      </c>
      <c r="F1105" t="s">
        <v>1555</v>
      </c>
    </row>
    <row r="1106" spans="1:6" x14ac:dyDescent="0.15">
      <c r="A1106" t="s">
        <v>4103</v>
      </c>
      <c r="C1106" t="s">
        <v>3629</v>
      </c>
      <c r="F1106" t="s">
        <v>1556</v>
      </c>
    </row>
    <row r="1107" spans="1:6" x14ac:dyDescent="0.15">
      <c r="A1107" t="s">
        <v>4103</v>
      </c>
      <c r="C1107" t="s">
        <v>3630</v>
      </c>
      <c r="F1107" t="s">
        <v>1557</v>
      </c>
    </row>
    <row r="1108" spans="1:6" x14ac:dyDescent="0.15">
      <c r="A1108" t="s">
        <v>4103</v>
      </c>
      <c r="C1108" t="s">
        <v>3631</v>
      </c>
      <c r="F1108" t="s">
        <v>1558</v>
      </c>
    </row>
    <row r="1109" spans="1:6" x14ac:dyDescent="0.15">
      <c r="A1109" t="s">
        <v>4103</v>
      </c>
      <c r="C1109" t="s">
        <v>3632</v>
      </c>
      <c r="F1109" t="s">
        <v>66</v>
      </c>
    </row>
    <row r="1110" spans="1:6" x14ac:dyDescent="0.15">
      <c r="A1110" t="s">
        <v>4103</v>
      </c>
      <c r="C1110" t="s">
        <v>3633</v>
      </c>
      <c r="F1110" t="s">
        <v>1559</v>
      </c>
    </row>
    <row r="1111" spans="1:6" x14ac:dyDescent="0.15">
      <c r="F1111" t="s">
        <v>1560</v>
      </c>
    </row>
    <row r="1112" spans="1:6" x14ac:dyDescent="0.15">
      <c r="F1112" t="s">
        <v>1561</v>
      </c>
    </row>
    <row r="1113" spans="1:6" x14ac:dyDescent="0.15">
      <c r="F1113" t="s">
        <v>1562</v>
      </c>
    </row>
    <row r="1114" spans="1:6" x14ac:dyDescent="0.15">
      <c r="F1114" t="s">
        <v>1563</v>
      </c>
    </row>
    <row r="1115" spans="1:6" x14ac:dyDescent="0.15">
      <c r="F1115" t="s">
        <v>1564</v>
      </c>
    </row>
    <row r="1116" spans="1:6" x14ac:dyDescent="0.15">
      <c r="F1116" t="s">
        <v>1565</v>
      </c>
    </row>
    <row r="1117" spans="1:6" x14ac:dyDescent="0.15">
      <c r="F1117" t="s">
        <v>1566</v>
      </c>
    </row>
    <row r="1118" spans="1:6" x14ac:dyDescent="0.15">
      <c r="F1118" t="s">
        <v>1567</v>
      </c>
    </row>
    <row r="1119" spans="1:6" x14ac:dyDescent="0.15">
      <c r="F1119" t="s">
        <v>1568</v>
      </c>
    </row>
    <row r="1120" spans="1:6" x14ac:dyDescent="0.15">
      <c r="F1120" t="s">
        <v>1569</v>
      </c>
    </row>
    <row r="1121" spans="6:6" x14ac:dyDescent="0.15">
      <c r="F1121" t="s">
        <v>1570</v>
      </c>
    </row>
    <row r="1122" spans="6:6" x14ac:dyDescent="0.15">
      <c r="F1122" t="s">
        <v>1571</v>
      </c>
    </row>
    <row r="1123" spans="6:6" x14ac:dyDescent="0.15">
      <c r="F1123" t="s">
        <v>1572</v>
      </c>
    </row>
    <row r="1124" spans="6:6" x14ac:dyDescent="0.15">
      <c r="F1124" t="s">
        <v>1573</v>
      </c>
    </row>
    <row r="1125" spans="6:6" x14ac:dyDescent="0.15">
      <c r="F1125" t="s">
        <v>1574</v>
      </c>
    </row>
    <row r="1126" spans="6:6" x14ac:dyDescent="0.15">
      <c r="F1126" t="s">
        <v>1575</v>
      </c>
    </row>
    <row r="1127" spans="6:6" x14ac:dyDescent="0.15">
      <c r="F1127" t="s">
        <v>1576</v>
      </c>
    </row>
    <row r="1128" spans="6:6" x14ac:dyDescent="0.15">
      <c r="F1128" t="s">
        <v>1577</v>
      </c>
    </row>
    <row r="1129" spans="6:6" x14ac:dyDescent="0.15">
      <c r="F1129" t="s">
        <v>1578</v>
      </c>
    </row>
    <row r="1130" spans="6:6" x14ac:dyDescent="0.15">
      <c r="F1130" t="s">
        <v>1579</v>
      </c>
    </row>
    <row r="1131" spans="6:6" x14ac:dyDescent="0.15">
      <c r="F1131" t="s">
        <v>1580</v>
      </c>
    </row>
    <row r="1132" spans="6:6" x14ac:dyDescent="0.15">
      <c r="F1132" t="s">
        <v>1581</v>
      </c>
    </row>
    <row r="1133" spans="6:6" x14ac:dyDescent="0.15">
      <c r="F1133" t="s">
        <v>1582</v>
      </c>
    </row>
    <row r="1134" spans="6:6" x14ac:dyDescent="0.15">
      <c r="F1134" t="s">
        <v>1583</v>
      </c>
    </row>
    <row r="1135" spans="6:6" x14ac:dyDescent="0.15">
      <c r="F1135" t="s">
        <v>1584</v>
      </c>
    </row>
    <row r="1136" spans="6:6" x14ac:dyDescent="0.15">
      <c r="F1136" t="s">
        <v>1585</v>
      </c>
    </row>
    <row r="1137" spans="6:6" x14ac:dyDescent="0.15">
      <c r="F1137" t="s">
        <v>1586</v>
      </c>
    </row>
    <row r="1138" spans="6:6" x14ac:dyDescent="0.15">
      <c r="F1138" t="s">
        <v>1587</v>
      </c>
    </row>
    <row r="1139" spans="6:6" x14ac:dyDescent="0.15">
      <c r="F1139" t="s">
        <v>1588</v>
      </c>
    </row>
    <row r="1140" spans="6:6" x14ac:dyDescent="0.15">
      <c r="F1140" t="s">
        <v>1589</v>
      </c>
    </row>
    <row r="1141" spans="6:6" x14ac:dyDescent="0.15">
      <c r="F1141" t="s">
        <v>1590</v>
      </c>
    </row>
    <row r="1142" spans="6:6" x14ac:dyDescent="0.15">
      <c r="F1142" t="s">
        <v>1591</v>
      </c>
    </row>
    <row r="1143" spans="6:6" x14ac:dyDescent="0.15">
      <c r="F1143" t="s">
        <v>1592</v>
      </c>
    </row>
    <row r="1144" spans="6:6" x14ac:dyDescent="0.15">
      <c r="F1144" t="s">
        <v>1593</v>
      </c>
    </row>
    <row r="1145" spans="6:6" x14ac:dyDescent="0.15">
      <c r="F1145" t="s">
        <v>1594</v>
      </c>
    </row>
    <row r="1146" spans="6:6" x14ac:dyDescent="0.15">
      <c r="F1146" t="s">
        <v>1595</v>
      </c>
    </row>
    <row r="1147" spans="6:6" x14ac:dyDescent="0.15">
      <c r="F1147" t="s">
        <v>1596</v>
      </c>
    </row>
    <row r="1148" spans="6:6" x14ac:dyDescent="0.15">
      <c r="F1148" t="s">
        <v>1597</v>
      </c>
    </row>
    <row r="1149" spans="6:6" x14ac:dyDescent="0.15">
      <c r="F1149" t="s">
        <v>1598</v>
      </c>
    </row>
    <row r="1150" spans="6:6" x14ac:dyDescent="0.15">
      <c r="F1150" t="s">
        <v>1599</v>
      </c>
    </row>
    <row r="1151" spans="6:6" x14ac:dyDescent="0.15">
      <c r="F1151" t="s">
        <v>1600</v>
      </c>
    </row>
    <row r="1152" spans="6:6" x14ac:dyDescent="0.15">
      <c r="F1152" t="s">
        <v>1601</v>
      </c>
    </row>
    <row r="1153" spans="6:6" x14ac:dyDescent="0.15">
      <c r="F1153" t="s">
        <v>1602</v>
      </c>
    </row>
    <row r="1154" spans="6:6" x14ac:dyDescent="0.15">
      <c r="F1154" t="s">
        <v>1603</v>
      </c>
    </row>
    <row r="1155" spans="6:6" x14ac:dyDescent="0.15">
      <c r="F1155" t="s">
        <v>1604</v>
      </c>
    </row>
    <row r="1156" spans="6:6" x14ac:dyDescent="0.15">
      <c r="F1156" t="s">
        <v>1605</v>
      </c>
    </row>
    <row r="1157" spans="6:6" x14ac:dyDescent="0.15">
      <c r="F1157" t="s">
        <v>1606</v>
      </c>
    </row>
    <row r="1158" spans="6:6" x14ac:dyDescent="0.15">
      <c r="F1158" t="s">
        <v>1607</v>
      </c>
    </row>
    <row r="1159" spans="6:6" x14ac:dyDescent="0.15">
      <c r="F1159" t="s">
        <v>1608</v>
      </c>
    </row>
    <row r="1160" spans="6:6" x14ac:dyDescent="0.15">
      <c r="F1160" t="s">
        <v>1609</v>
      </c>
    </row>
    <row r="1161" spans="6:6" x14ac:dyDescent="0.15">
      <c r="F1161" t="s">
        <v>1610</v>
      </c>
    </row>
    <row r="1162" spans="6:6" x14ac:dyDescent="0.15">
      <c r="F1162" t="s">
        <v>1611</v>
      </c>
    </row>
    <row r="1163" spans="6:6" x14ac:dyDescent="0.15">
      <c r="F1163" t="s">
        <v>1612</v>
      </c>
    </row>
    <row r="1164" spans="6:6" x14ac:dyDescent="0.15">
      <c r="F1164" t="s">
        <v>1613</v>
      </c>
    </row>
    <row r="1165" spans="6:6" x14ac:dyDescent="0.15">
      <c r="F1165" t="s">
        <v>1614</v>
      </c>
    </row>
    <row r="1166" spans="6:6" x14ac:dyDescent="0.15">
      <c r="F1166" t="s">
        <v>1615</v>
      </c>
    </row>
    <row r="1167" spans="6:6" x14ac:dyDescent="0.15">
      <c r="F1167" t="s">
        <v>1616</v>
      </c>
    </row>
    <row r="1168" spans="6:6" x14ac:dyDescent="0.15">
      <c r="F1168" t="s">
        <v>1617</v>
      </c>
    </row>
    <row r="1169" spans="6:6" x14ac:dyDescent="0.15">
      <c r="F1169" t="s">
        <v>1618</v>
      </c>
    </row>
    <row r="1170" spans="6:6" x14ac:dyDescent="0.15">
      <c r="F1170" t="s">
        <v>1619</v>
      </c>
    </row>
    <row r="1171" spans="6:6" x14ac:dyDescent="0.15">
      <c r="F1171" t="s">
        <v>1620</v>
      </c>
    </row>
    <row r="1172" spans="6:6" x14ac:dyDescent="0.15">
      <c r="F1172" t="s">
        <v>1621</v>
      </c>
    </row>
    <row r="1173" spans="6:6" x14ac:dyDescent="0.15">
      <c r="F1173" t="s">
        <v>1622</v>
      </c>
    </row>
    <row r="1174" spans="6:6" x14ac:dyDescent="0.15">
      <c r="F1174" t="s">
        <v>1623</v>
      </c>
    </row>
    <row r="1175" spans="6:6" x14ac:dyDescent="0.15">
      <c r="F1175" t="s">
        <v>1624</v>
      </c>
    </row>
    <row r="1176" spans="6:6" x14ac:dyDescent="0.15">
      <c r="F1176" t="s">
        <v>1625</v>
      </c>
    </row>
    <row r="1177" spans="6:6" x14ac:dyDescent="0.15">
      <c r="F1177" t="s">
        <v>1626</v>
      </c>
    </row>
    <row r="1178" spans="6:6" x14ac:dyDescent="0.15">
      <c r="F1178" t="s">
        <v>1627</v>
      </c>
    </row>
    <row r="1179" spans="6:6" x14ac:dyDescent="0.15">
      <c r="F1179" t="s">
        <v>1628</v>
      </c>
    </row>
    <row r="1180" spans="6:6" x14ac:dyDescent="0.15">
      <c r="F1180" t="s">
        <v>1629</v>
      </c>
    </row>
    <row r="1181" spans="6:6" x14ac:dyDescent="0.15">
      <c r="F1181" t="s">
        <v>1630</v>
      </c>
    </row>
    <row r="1182" spans="6:6" x14ac:dyDescent="0.15">
      <c r="F1182" t="s">
        <v>1631</v>
      </c>
    </row>
    <row r="1183" spans="6:6" x14ac:dyDescent="0.15">
      <c r="F1183" t="s">
        <v>1632</v>
      </c>
    </row>
    <row r="1184" spans="6:6" x14ac:dyDescent="0.15">
      <c r="F1184" t="s">
        <v>1633</v>
      </c>
    </row>
    <row r="1185" spans="6:6" x14ac:dyDescent="0.15">
      <c r="F1185" t="s">
        <v>1634</v>
      </c>
    </row>
    <row r="1186" spans="6:6" x14ac:dyDescent="0.15">
      <c r="F1186" t="s">
        <v>1635</v>
      </c>
    </row>
    <row r="1187" spans="6:6" x14ac:dyDescent="0.15">
      <c r="F1187" t="s">
        <v>1636</v>
      </c>
    </row>
    <row r="1188" spans="6:6" x14ac:dyDescent="0.15">
      <c r="F1188" t="s">
        <v>1637</v>
      </c>
    </row>
    <row r="1189" spans="6:6" x14ac:dyDescent="0.15">
      <c r="F1189" t="s">
        <v>1638</v>
      </c>
    </row>
    <row r="1190" spans="6:6" x14ac:dyDescent="0.15">
      <c r="F1190" t="s">
        <v>1639</v>
      </c>
    </row>
    <row r="1191" spans="6:6" x14ac:dyDescent="0.15">
      <c r="F1191" t="s">
        <v>1640</v>
      </c>
    </row>
    <row r="1192" spans="6:6" x14ac:dyDescent="0.15">
      <c r="F1192" t="s">
        <v>1641</v>
      </c>
    </row>
    <row r="1193" spans="6:6" x14ac:dyDescent="0.15">
      <c r="F1193" t="s">
        <v>1642</v>
      </c>
    </row>
    <row r="1194" spans="6:6" x14ac:dyDescent="0.15">
      <c r="F1194" t="s">
        <v>1643</v>
      </c>
    </row>
    <row r="1195" spans="6:6" x14ac:dyDescent="0.15">
      <c r="F1195" t="s">
        <v>1644</v>
      </c>
    </row>
    <row r="1196" spans="6:6" x14ac:dyDescent="0.15">
      <c r="F1196" t="s">
        <v>1645</v>
      </c>
    </row>
    <row r="1197" spans="6:6" x14ac:dyDescent="0.15">
      <c r="F1197" t="s">
        <v>1646</v>
      </c>
    </row>
    <row r="1198" spans="6:6" x14ac:dyDescent="0.15">
      <c r="F1198" t="s">
        <v>144</v>
      </c>
    </row>
    <row r="1199" spans="6:6" x14ac:dyDescent="0.15">
      <c r="F1199" t="s">
        <v>1647</v>
      </c>
    </row>
    <row r="1200" spans="6:6" x14ac:dyDescent="0.15">
      <c r="F1200" t="s">
        <v>917</v>
      </c>
    </row>
    <row r="1201" spans="6:6" x14ac:dyDescent="0.15">
      <c r="F1201" t="s">
        <v>1648</v>
      </c>
    </row>
    <row r="1202" spans="6:6" x14ac:dyDescent="0.15">
      <c r="F1202" t="s">
        <v>1649</v>
      </c>
    </row>
    <row r="1203" spans="6:6" x14ac:dyDescent="0.15">
      <c r="F1203" t="s">
        <v>1650</v>
      </c>
    </row>
    <row r="1204" spans="6:6" x14ac:dyDescent="0.15">
      <c r="F1204" t="s">
        <v>1651</v>
      </c>
    </row>
    <row r="1205" spans="6:6" x14ac:dyDescent="0.15">
      <c r="F1205" t="s">
        <v>1652</v>
      </c>
    </row>
    <row r="1206" spans="6:6" x14ac:dyDescent="0.15">
      <c r="F1206" t="s">
        <v>1653</v>
      </c>
    </row>
    <row r="1207" spans="6:6" x14ac:dyDescent="0.15">
      <c r="F1207" t="s">
        <v>1654</v>
      </c>
    </row>
    <row r="1208" spans="6:6" x14ac:dyDescent="0.15">
      <c r="F1208" t="s">
        <v>1655</v>
      </c>
    </row>
    <row r="1209" spans="6:6" x14ac:dyDescent="0.15">
      <c r="F1209" t="s">
        <v>1656</v>
      </c>
    </row>
    <row r="1210" spans="6:6" x14ac:dyDescent="0.15">
      <c r="F1210" t="s">
        <v>1657</v>
      </c>
    </row>
    <row r="1211" spans="6:6" x14ac:dyDescent="0.15">
      <c r="F1211" t="s">
        <v>1658</v>
      </c>
    </row>
    <row r="1212" spans="6:6" x14ac:dyDescent="0.15">
      <c r="F1212" t="s">
        <v>1659</v>
      </c>
    </row>
    <row r="1213" spans="6:6" x14ac:dyDescent="0.15">
      <c r="F1213" t="s">
        <v>1660</v>
      </c>
    </row>
    <row r="1214" spans="6:6" x14ac:dyDescent="0.15">
      <c r="F1214" t="s">
        <v>195</v>
      </c>
    </row>
    <row r="1215" spans="6:6" x14ac:dyDescent="0.15">
      <c r="F1215" t="s">
        <v>1661</v>
      </c>
    </row>
    <row r="1216" spans="6:6" x14ac:dyDescent="0.15">
      <c r="F1216" t="s">
        <v>1662</v>
      </c>
    </row>
    <row r="1217" spans="6:6" x14ac:dyDescent="0.15">
      <c r="F1217" t="s">
        <v>1663</v>
      </c>
    </row>
    <row r="1218" spans="6:6" x14ac:dyDescent="0.15">
      <c r="F1218" t="s">
        <v>1664</v>
      </c>
    </row>
    <row r="1219" spans="6:6" x14ac:dyDescent="0.15">
      <c r="F1219" t="s">
        <v>1665</v>
      </c>
    </row>
    <row r="1220" spans="6:6" x14ac:dyDescent="0.15">
      <c r="F1220" t="s">
        <v>1666</v>
      </c>
    </row>
    <row r="1221" spans="6:6" x14ac:dyDescent="0.15">
      <c r="F1221" t="s">
        <v>1667</v>
      </c>
    </row>
    <row r="1222" spans="6:6" x14ac:dyDescent="0.15">
      <c r="F1222" t="s">
        <v>1668</v>
      </c>
    </row>
    <row r="1223" spans="6:6" x14ac:dyDescent="0.15">
      <c r="F1223" t="s">
        <v>1669</v>
      </c>
    </row>
    <row r="1224" spans="6:6" x14ac:dyDescent="0.15">
      <c r="F1224" t="s">
        <v>1670</v>
      </c>
    </row>
    <row r="1225" spans="6:6" x14ac:dyDescent="0.15">
      <c r="F1225" t="s">
        <v>1671</v>
      </c>
    </row>
    <row r="1226" spans="6:6" x14ac:dyDescent="0.15">
      <c r="F1226" t="s">
        <v>1672</v>
      </c>
    </row>
    <row r="1227" spans="6:6" x14ac:dyDescent="0.15">
      <c r="F1227" t="s">
        <v>1673</v>
      </c>
    </row>
    <row r="1228" spans="6:6" x14ac:dyDescent="0.15">
      <c r="F1228" t="s">
        <v>1674</v>
      </c>
    </row>
    <row r="1229" spans="6:6" x14ac:dyDescent="0.15">
      <c r="F1229" t="s">
        <v>1675</v>
      </c>
    </row>
    <row r="1230" spans="6:6" x14ac:dyDescent="0.15">
      <c r="F1230" t="s">
        <v>1676</v>
      </c>
    </row>
    <row r="1231" spans="6:6" x14ac:dyDescent="0.15">
      <c r="F1231" t="s">
        <v>1677</v>
      </c>
    </row>
    <row r="1232" spans="6:6" x14ac:dyDescent="0.15">
      <c r="F1232" t="s">
        <v>1678</v>
      </c>
    </row>
    <row r="1233" spans="6:6" x14ac:dyDescent="0.15">
      <c r="F1233" t="s">
        <v>1679</v>
      </c>
    </row>
    <row r="1234" spans="6:6" x14ac:dyDescent="0.15">
      <c r="F1234" t="s">
        <v>1680</v>
      </c>
    </row>
    <row r="1235" spans="6:6" x14ac:dyDescent="0.15">
      <c r="F1235" t="s">
        <v>1681</v>
      </c>
    </row>
    <row r="1236" spans="6:6" x14ac:dyDescent="0.15">
      <c r="F1236" t="s">
        <v>1682</v>
      </c>
    </row>
    <row r="1237" spans="6:6" x14ac:dyDescent="0.15">
      <c r="F1237" t="s">
        <v>1683</v>
      </c>
    </row>
    <row r="1238" spans="6:6" x14ac:dyDescent="0.15">
      <c r="F1238" t="s">
        <v>1684</v>
      </c>
    </row>
    <row r="1239" spans="6:6" x14ac:dyDescent="0.15">
      <c r="F1239" t="s">
        <v>1685</v>
      </c>
    </row>
    <row r="1240" spans="6:6" x14ac:dyDescent="0.15">
      <c r="F1240" t="s">
        <v>1686</v>
      </c>
    </row>
    <row r="1241" spans="6:6" x14ac:dyDescent="0.15">
      <c r="F1241" t="s">
        <v>1687</v>
      </c>
    </row>
    <row r="1242" spans="6:6" x14ac:dyDescent="0.15">
      <c r="F1242" t="s">
        <v>1688</v>
      </c>
    </row>
    <row r="1243" spans="6:6" x14ac:dyDescent="0.15">
      <c r="F1243" t="s">
        <v>1689</v>
      </c>
    </row>
    <row r="1244" spans="6:6" x14ac:dyDescent="0.15">
      <c r="F1244" t="s">
        <v>1690</v>
      </c>
    </row>
    <row r="1245" spans="6:6" x14ac:dyDescent="0.15">
      <c r="F1245" t="s">
        <v>1691</v>
      </c>
    </row>
    <row r="1246" spans="6:6" x14ac:dyDescent="0.15">
      <c r="F1246" t="s">
        <v>1692</v>
      </c>
    </row>
    <row r="1247" spans="6:6" x14ac:dyDescent="0.15">
      <c r="F1247" t="s">
        <v>1693</v>
      </c>
    </row>
    <row r="1248" spans="6:6" x14ac:dyDescent="0.15">
      <c r="F1248" t="s">
        <v>1694</v>
      </c>
    </row>
    <row r="1249" spans="6:6" x14ac:dyDescent="0.15">
      <c r="F1249" t="s">
        <v>1695</v>
      </c>
    </row>
    <row r="1250" spans="6:6" x14ac:dyDescent="0.15">
      <c r="F1250" t="s">
        <v>1696</v>
      </c>
    </row>
    <row r="1251" spans="6:6" x14ac:dyDescent="0.15">
      <c r="F1251" t="s">
        <v>1697</v>
      </c>
    </row>
    <row r="1252" spans="6:6" x14ac:dyDescent="0.15">
      <c r="F1252" t="s">
        <v>1698</v>
      </c>
    </row>
    <row r="1253" spans="6:6" x14ac:dyDescent="0.15">
      <c r="F1253" t="s">
        <v>1699</v>
      </c>
    </row>
    <row r="1254" spans="6:6" x14ac:dyDescent="0.15">
      <c r="F1254" t="s">
        <v>1700</v>
      </c>
    </row>
    <row r="1255" spans="6:6" x14ac:dyDescent="0.15">
      <c r="F1255" t="s">
        <v>1701</v>
      </c>
    </row>
    <row r="1256" spans="6:6" x14ac:dyDescent="0.15">
      <c r="F1256" t="s">
        <v>1702</v>
      </c>
    </row>
    <row r="1257" spans="6:6" x14ac:dyDescent="0.15">
      <c r="F1257" t="s">
        <v>1703</v>
      </c>
    </row>
    <row r="1258" spans="6:6" x14ac:dyDescent="0.15">
      <c r="F1258" t="s">
        <v>1704</v>
      </c>
    </row>
    <row r="1259" spans="6:6" x14ac:dyDescent="0.15">
      <c r="F1259" t="s">
        <v>1705</v>
      </c>
    </row>
    <row r="1260" spans="6:6" x14ac:dyDescent="0.15">
      <c r="F1260" t="s">
        <v>1706</v>
      </c>
    </row>
    <row r="1261" spans="6:6" x14ac:dyDescent="0.15">
      <c r="F1261" t="s">
        <v>1707</v>
      </c>
    </row>
    <row r="1262" spans="6:6" x14ac:dyDescent="0.15">
      <c r="F1262" t="s">
        <v>1708</v>
      </c>
    </row>
    <row r="1263" spans="6:6" x14ac:dyDescent="0.15">
      <c r="F1263" t="s">
        <v>1709</v>
      </c>
    </row>
    <row r="1264" spans="6:6" x14ac:dyDescent="0.15">
      <c r="F1264" t="s">
        <v>1710</v>
      </c>
    </row>
    <row r="1265" spans="6:6" x14ac:dyDescent="0.15">
      <c r="F1265" t="s">
        <v>1711</v>
      </c>
    </row>
    <row r="1266" spans="6:6" x14ac:dyDescent="0.15">
      <c r="F1266" t="s">
        <v>1712</v>
      </c>
    </row>
    <row r="1267" spans="6:6" x14ac:dyDescent="0.15">
      <c r="F1267" t="s">
        <v>1713</v>
      </c>
    </row>
    <row r="1268" spans="6:6" x14ac:dyDescent="0.15">
      <c r="F1268" t="s">
        <v>1714</v>
      </c>
    </row>
    <row r="1269" spans="6:6" x14ac:dyDescent="0.15">
      <c r="F1269" t="s">
        <v>1715</v>
      </c>
    </row>
    <row r="1270" spans="6:6" x14ac:dyDescent="0.15">
      <c r="F1270" t="s">
        <v>1716</v>
      </c>
    </row>
    <row r="1271" spans="6:6" x14ac:dyDescent="0.15">
      <c r="F1271" t="s">
        <v>1717</v>
      </c>
    </row>
    <row r="1272" spans="6:6" x14ac:dyDescent="0.15">
      <c r="F1272" t="s">
        <v>1718</v>
      </c>
    </row>
    <row r="1273" spans="6:6" x14ac:dyDescent="0.15">
      <c r="F1273" t="s">
        <v>1719</v>
      </c>
    </row>
    <row r="1274" spans="6:6" x14ac:dyDescent="0.15">
      <c r="F1274" t="s">
        <v>1720</v>
      </c>
    </row>
    <row r="1275" spans="6:6" x14ac:dyDescent="0.15">
      <c r="F1275" t="s">
        <v>1721</v>
      </c>
    </row>
    <row r="1276" spans="6:6" x14ac:dyDescent="0.15">
      <c r="F1276" t="s">
        <v>1722</v>
      </c>
    </row>
    <row r="1277" spans="6:6" x14ac:dyDescent="0.15">
      <c r="F1277" t="s">
        <v>1723</v>
      </c>
    </row>
    <row r="1278" spans="6:6" x14ac:dyDescent="0.15">
      <c r="F1278" t="s">
        <v>1724</v>
      </c>
    </row>
    <row r="1279" spans="6:6" x14ac:dyDescent="0.15">
      <c r="F1279" t="s">
        <v>1725</v>
      </c>
    </row>
    <row r="1280" spans="6:6" x14ac:dyDescent="0.15">
      <c r="F1280" t="s">
        <v>1726</v>
      </c>
    </row>
    <row r="1281" spans="6:6" x14ac:dyDescent="0.15">
      <c r="F1281" t="s">
        <v>1727</v>
      </c>
    </row>
    <row r="1282" spans="6:6" x14ac:dyDescent="0.15">
      <c r="F1282" t="s">
        <v>1728</v>
      </c>
    </row>
    <row r="1283" spans="6:6" x14ac:dyDescent="0.15">
      <c r="F1283" t="s">
        <v>1729</v>
      </c>
    </row>
    <row r="1284" spans="6:6" x14ac:dyDescent="0.15">
      <c r="F1284" t="s">
        <v>1730</v>
      </c>
    </row>
    <row r="1285" spans="6:6" x14ac:dyDescent="0.15">
      <c r="F1285" t="s">
        <v>1731</v>
      </c>
    </row>
    <row r="1286" spans="6:6" x14ac:dyDescent="0.15">
      <c r="F1286" t="s">
        <v>1732</v>
      </c>
    </row>
    <row r="1287" spans="6:6" x14ac:dyDescent="0.15">
      <c r="F1287" t="s">
        <v>1733</v>
      </c>
    </row>
    <row r="1288" spans="6:6" x14ac:dyDescent="0.15">
      <c r="F1288" t="s">
        <v>1734</v>
      </c>
    </row>
    <row r="1289" spans="6:6" x14ac:dyDescent="0.15">
      <c r="F1289" t="s">
        <v>1735</v>
      </c>
    </row>
    <row r="1290" spans="6:6" x14ac:dyDescent="0.15">
      <c r="F1290" t="s">
        <v>1736</v>
      </c>
    </row>
    <row r="1291" spans="6:6" x14ac:dyDescent="0.15">
      <c r="F1291" t="s">
        <v>1737</v>
      </c>
    </row>
    <row r="1292" spans="6:6" x14ac:dyDescent="0.15">
      <c r="F1292" t="s">
        <v>1738</v>
      </c>
    </row>
    <row r="1293" spans="6:6" x14ac:dyDescent="0.15">
      <c r="F1293" t="s">
        <v>1739</v>
      </c>
    </row>
    <row r="1294" spans="6:6" x14ac:dyDescent="0.15">
      <c r="F1294" t="s">
        <v>1740</v>
      </c>
    </row>
    <row r="1295" spans="6:6" x14ac:dyDescent="0.15">
      <c r="F1295" t="s">
        <v>1741</v>
      </c>
    </row>
    <row r="1296" spans="6:6" x14ac:dyDescent="0.15">
      <c r="F1296" t="s">
        <v>1742</v>
      </c>
    </row>
    <row r="1297" spans="6:6" x14ac:dyDescent="0.15">
      <c r="F1297" t="s">
        <v>1743</v>
      </c>
    </row>
    <row r="1298" spans="6:6" x14ac:dyDescent="0.15">
      <c r="F1298" t="s">
        <v>1744</v>
      </c>
    </row>
    <row r="1299" spans="6:6" x14ac:dyDescent="0.15">
      <c r="F1299" t="s">
        <v>1745</v>
      </c>
    </row>
    <row r="1300" spans="6:6" x14ac:dyDescent="0.15">
      <c r="F1300" t="s">
        <v>1746</v>
      </c>
    </row>
    <row r="1301" spans="6:6" x14ac:dyDescent="0.15">
      <c r="F1301" t="s">
        <v>1747</v>
      </c>
    </row>
    <row r="1302" spans="6:6" x14ac:dyDescent="0.15">
      <c r="F1302" t="s">
        <v>1748</v>
      </c>
    </row>
    <row r="1303" spans="6:6" x14ac:dyDescent="0.15">
      <c r="F1303" t="s">
        <v>1749</v>
      </c>
    </row>
    <row r="1304" spans="6:6" x14ac:dyDescent="0.15">
      <c r="F1304" t="s">
        <v>1750</v>
      </c>
    </row>
    <row r="1305" spans="6:6" x14ac:dyDescent="0.15">
      <c r="F1305" t="s">
        <v>1751</v>
      </c>
    </row>
    <row r="1306" spans="6:6" x14ac:dyDescent="0.15">
      <c r="F1306" t="s">
        <v>1752</v>
      </c>
    </row>
    <row r="1307" spans="6:6" x14ac:dyDescent="0.15">
      <c r="F1307" t="s">
        <v>1753</v>
      </c>
    </row>
    <row r="1308" spans="6:6" x14ac:dyDescent="0.15">
      <c r="F1308" t="s">
        <v>44</v>
      </c>
    </row>
    <row r="1309" spans="6:6" x14ac:dyDescent="0.15">
      <c r="F1309" t="s">
        <v>1754</v>
      </c>
    </row>
    <row r="1310" spans="6:6" x14ac:dyDescent="0.15">
      <c r="F1310" t="s">
        <v>42</v>
      </c>
    </row>
    <row r="1311" spans="6:6" x14ac:dyDescent="0.15">
      <c r="F1311" t="s">
        <v>1755</v>
      </c>
    </row>
    <row r="1312" spans="6:6" x14ac:dyDescent="0.15">
      <c r="F1312" t="s">
        <v>1756</v>
      </c>
    </row>
    <row r="1313" spans="6:6" x14ac:dyDescent="0.15">
      <c r="F1313" t="s">
        <v>1757</v>
      </c>
    </row>
    <row r="1314" spans="6:6" x14ac:dyDescent="0.15">
      <c r="F1314" t="s">
        <v>1758</v>
      </c>
    </row>
    <row r="1315" spans="6:6" x14ac:dyDescent="0.15">
      <c r="F1315" t="s">
        <v>1759</v>
      </c>
    </row>
    <row r="1316" spans="6:6" x14ac:dyDescent="0.15">
      <c r="F1316" t="s">
        <v>1760</v>
      </c>
    </row>
    <row r="1317" spans="6:6" x14ac:dyDescent="0.15">
      <c r="F1317" t="s">
        <v>202</v>
      </c>
    </row>
    <row r="1318" spans="6:6" x14ac:dyDescent="0.15">
      <c r="F1318" t="s">
        <v>1761</v>
      </c>
    </row>
    <row r="1319" spans="6:6" x14ac:dyDescent="0.15">
      <c r="F1319" t="s">
        <v>1762</v>
      </c>
    </row>
    <row r="1320" spans="6:6" x14ac:dyDescent="0.15">
      <c r="F1320" t="s">
        <v>1763</v>
      </c>
    </row>
    <row r="1321" spans="6:6" x14ac:dyDescent="0.15">
      <c r="F1321" t="s">
        <v>1764</v>
      </c>
    </row>
    <row r="1322" spans="6:6" x14ac:dyDescent="0.15">
      <c r="F1322" t="s">
        <v>1765</v>
      </c>
    </row>
    <row r="1323" spans="6:6" x14ac:dyDescent="0.15">
      <c r="F1323" t="s">
        <v>1766</v>
      </c>
    </row>
    <row r="1324" spans="6:6" x14ac:dyDescent="0.15">
      <c r="F1324" t="s">
        <v>1767</v>
      </c>
    </row>
    <row r="1325" spans="6:6" x14ac:dyDescent="0.15">
      <c r="F1325" t="s">
        <v>1768</v>
      </c>
    </row>
    <row r="1326" spans="6:6" x14ac:dyDescent="0.15">
      <c r="F1326" t="s">
        <v>1769</v>
      </c>
    </row>
    <row r="1327" spans="6:6" x14ac:dyDescent="0.15">
      <c r="F1327" t="s">
        <v>1770</v>
      </c>
    </row>
    <row r="1328" spans="6:6" x14ac:dyDescent="0.15">
      <c r="F1328" t="s">
        <v>1771</v>
      </c>
    </row>
    <row r="1329" spans="6:6" x14ac:dyDescent="0.15">
      <c r="F1329" t="s">
        <v>1772</v>
      </c>
    </row>
    <row r="1330" spans="6:6" x14ac:dyDescent="0.15">
      <c r="F1330" t="s">
        <v>1773</v>
      </c>
    </row>
    <row r="1331" spans="6:6" x14ac:dyDescent="0.15">
      <c r="F1331" t="s">
        <v>1774</v>
      </c>
    </row>
    <row r="1332" spans="6:6" x14ac:dyDescent="0.15">
      <c r="F1332" t="s">
        <v>1775</v>
      </c>
    </row>
    <row r="1333" spans="6:6" x14ac:dyDescent="0.15">
      <c r="F1333" t="s">
        <v>1776</v>
      </c>
    </row>
    <row r="1334" spans="6:6" x14ac:dyDescent="0.15">
      <c r="F1334" t="s">
        <v>1777</v>
      </c>
    </row>
    <row r="1335" spans="6:6" x14ac:dyDescent="0.15">
      <c r="F1335" t="s">
        <v>1778</v>
      </c>
    </row>
    <row r="1336" spans="6:6" x14ac:dyDescent="0.15">
      <c r="F1336" t="s">
        <v>1779</v>
      </c>
    </row>
    <row r="1337" spans="6:6" x14ac:dyDescent="0.15">
      <c r="F1337" t="s">
        <v>1780</v>
      </c>
    </row>
    <row r="1338" spans="6:6" x14ac:dyDescent="0.15">
      <c r="F1338" t="s">
        <v>1781</v>
      </c>
    </row>
    <row r="1339" spans="6:6" x14ac:dyDescent="0.15">
      <c r="F1339" t="s">
        <v>1782</v>
      </c>
    </row>
    <row r="1340" spans="6:6" x14ac:dyDescent="0.15">
      <c r="F1340" t="s">
        <v>1783</v>
      </c>
    </row>
    <row r="1341" spans="6:6" x14ac:dyDescent="0.15">
      <c r="F1341" t="s">
        <v>1784</v>
      </c>
    </row>
    <row r="1342" spans="6:6" x14ac:dyDescent="0.15">
      <c r="F1342" t="s">
        <v>1785</v>
      </c>
    </row>
    <row r="1343" spans="6:6" x14ac:dyDescent="0.15">
      <c r="F1343" t="s">
        <v>936</v>
      </c>
    </row>
    <row r="1344" spans="6:6" x14ac:dyDescent="0.15">
      <c r="F1344" t="s">
        <v>1786</v>
      </c>
    </row>
    <row r="1345" spans="6:6" x14ac:dyDescent="0.15">
      <c r="F1345" t="s">
        <v>1787</v>
      </c>
    </row>
    <row r="1346" spans="6:6" x14ac:dyDescent="0.15">
      <c r="F1346" t="s">
        <v>1788</v>
      </c>
    </row>
    <row r="1347" spans="6:6" x14ac:dyDescent="0.15">
      <c r="F1347" t="s">
        <v>1789</v>
      </c>
    </row>
    <row r="1348" spans="6:6" x14ac:dyDescent="0.15">
      <c r="F1348" t="s">
        <v>1790</v>
      </c>
    </row>
    <row r="1349" spans="6:6" x14ac:dyDescent="0.15">
      <c r="F1349" t="s">
        <v>69</v>
      </c>
    </row>
    <row r="1350" spans="6:6" x14ac:dyDescent="0.15">
      <c r="F1350" t="s">
        <v>1791</v>
      </c>
    </row>
    <row r="1351" spans="6:6" x14ac:dyDescent="0.15">
      <c r="F1351" t="s">
        <v>1792</v>
      </c>
    </row>
    <row r="1352" spans="6:6" x14ac:dyDescent="0.15">
      <c r="F1352" t="s">
        <v>1793</v>
      </c>
    </row>
    <row r="1353" spans="6:6" x14ac:dyDescent="0.15">
      <c r="F1353" t="s">
        <v>1794</v>
      </c>
    </row>
    <row r="1354" spans="6:6" x14ac:dyDescent="0.15">
      <c r="F1354" t="s">
        <v>1795</v>
      </c>
    </row>
    <row r="1355" spans="6:6" x14ac:dyDescent="0.15">
      <c r="F1355" t="s">
        <v>112</v>
      </c>
    </row>
    <row r="1356" spans="6:6" x14ac:dyDescent="0.15">
      <c r="F1356" t="s">
        <v>1796</v>
      </c>
    </row>
    <row r="1357" spans="6:6" x14ac:dyDescent="0.15">
      <c r="F1357" t="s">
        <v>1797</v>
      </c>
    </row>
    <row r="1358" spans="6:6" x14ac:dyDescent="0.15">
      <c r="F1358" t="s">
        <v>1798</v>
      </c>
    </row>
    <row r="1359" spans="6:6" x14ac:dyDescent="0.15">
      <c r="F1359" t="s">
        <v>48</v>
      </c>
    </row>
    <row r="1360" spans="6:6" x14ac:dyDescent="0.15">
      <c r="F1360" t="s">
        <v>1799</v>
      </c>
    </row>
    <row r="1361" spans="6:6" x14ac:dyDescent="0.15">
      <c r="F1361" t="s">
        <v>1800</v>
      </c>
    </row>
    <row r="1362" spans="6:6" x14ac:dyDescent="0.15">
      <c r="F1362" t="s">
        <v>1801</v>
      </c>
    </row>
    <row r="1363" spans="6:6" x14ac:dyDescent="0.15">
      <c r="F1363" t="s">
        <v>1802</v>
      </c>
    </row>
    <row r="1364" spans="6:6" x14ac:dyDescent="0.15">
      <c r="F1364" t="s">
        <v>1803</v>
      </c>
    </row>
    <row r="1365" spans="6:6" x14ac:dyDescent="0.15">
      <c r="F1365" t="s">
        <v>1804</v>
      </c>
    </row>
    <row r="1366" spans="6:6" x14ac:dyDescent="0.15">
      <c r="F1366" t="s">
        <v>1805</v>
      </c>
    </row>
    <row r="1367" spans="6:6" x14ac:dyDescent="0.15">
      <c r="F1367" t="s">
        <v>1806</v>
      </c>
    </row>
    <row r="1368" spans="6:6" x14ac:dyDescent="0.15">
      <c r="F1368" t="s">
        <v>1807</v>
      </c>
    </row>
    <row r="1369" spans="6:6" x14ac:dyDescent="0.15">
      <c r="F1369" t="s">
        <v>1808</v>
      </c>
    </row>
    <row r="1370" spans="6:6" x14ac:dyDescent="0.15">
      <c r="F1370" t="s">
        <v>1809</v>
      </c>
    </row>
    <row r="1371" spans="6:6" x14ac:dyDescent="0.15">
      <c r="F1371" t="s">
        <v>1810</v>
      </c>
    </row>
    <row r="1372" spans="6:6" x14ac:dyDescent="0.15">
      <c r="F1372" t="s">
        <v>1811</v>
      </c>
    </row>
    <row r="1373" spans="6:6" x14ac:dyDescent="0.15">
      <c r="F1373" t="s">
        <v>1812</v>
      </c>
    </row>
    <row r="1374" spans="6:6" x14ac:dyDescent="0.15">
      <c r="F1374" t="s">
        <v>4</v>
      </c>
    </row>
    <row r="1375" spans="6:6" x14ac:dyDescent="0.15">
      <c r="F1375" t="s">
        <v>1813</v>
      </c>
    </row>
    <row r="1376" spans="6:6" x14ac:dyDescent="0.15">
      <c r="F1376" t="s">
        <v>1814</v>
      </c>
    </row>
    <row r="1377" spans="6:6" x14ac:dyDescent="0.15">
      <c r="F1377" t="s">
        <v>1815</v>
      </c>
    </row>
    <row r="1378" spans="6:6" x14ac:dyDescent="0.15">
      <c r="F1378" t="s">
        <v>1816</v>
      </c>
    </row>
    <row r="1379" spans="6:6" x14ac:dyDescent="0.15">
      <c r="F1379" t="s">
        <v>1817</v>
      </c>
    </row>
    <row r="1380" spans="6:6" x14ac:dyDescent="0.15">
      <c r="F1380" t="s">
        <v>1818</v>
      </c>
    </row>
    <row r="1381" spans="6:6" x14ac:dyDescent="0.15">
      <c r="F1381" t="s">
        <v>1819</v>
      </c>
    </row>
    <row r="1382" spans="6:6" x14ac:dyDescent="0.15">
      <c r="F1382" t="s">
        <v>1820</v>
      </c>
    </row>
    <row r="1383" spans="6:6" x14ac:dyDescent="0.15">
      <c r="F1383" t="s">
        <v>1821</v>
      </c>
    </row>
    <row r="1384" spans="6:6" x14ac:dyDescent="0.15">
      <c r="F1384" t="s">
        <v>1822</v>
      </c>
    </row>
    <row r="1385" spans="6:6" x14ac:dyDescent="0.15">
      <c r="F1385" t="s">
        <v>1823</v>
      </c>
    </row>
    <row r="1386" spans="6:6" x14ac:dyDescent="0.15">
      <c r="F1386" t="s">
        <v>1824</v>
      </c>
    </row>
    <row r="1387" spans="6:6" x14ac:dyDescent="0.15">
      <c r="F1387" t="s">
        <v>1825</v>
      </c>
    </row>
    <row r="1388" spans="6:6" x14ac:dyDescent="0.15">
      <c r="F1388" t="s">
        <v>1826</v>
      </c>
    </row>
    <row r="1389" spans="6:6" x14ac:dyDescent="0.15">
      <c r="F1389" t="s">
        <v>1827</v>
      </c>
    </row>
    <row r="1390" spans="6:6" x14ac:dyDescent="0.15">
      <c r="F1390" t="s">
        <v>1828</v>
      </c>
    </row>
    <row r="1391" spans="6:6" x14ac:dyDescent="0.15">
      <c r="F1391" t="s">
        <v>1829</v>
      </c>
    </row>
    <row r="1392" spans="6:6" x14ac:dyDescent="0.15">
      <c r="F1392" t="s">
        <v>1830</v>
      </c>
    </row>
    <row r="1393" spans="6:6" x14ac:dyDescent="0.15">
      <c r="F1393" t="s">
        <v>1831</v>
      </c>
    </row>
    <row r="1394" spans="6:6" x14ac:dyDescent="0.15">
      <c r="F1394" t="s">
        <v>1832</v>
      </c>
    </row>
    <row r="1395" spans="6:6" x14ac:dyDescent="0.15">
      <c r="F1395" t="s">
        <v>1833</v>
      </c>
    </row>
    <row r="1396" spans="6:6" x14ac:dyDescent="0.15">
      <c r="F1396" t="s">
        <v>1834</v>
      </c>
    </row>
    <row r="1397" spans="6:6" x14ac:dyDescent="0.15">
      <c r="F1397" t="s">
        <v>1835</v>
      </c>
    </row>
    <row r="1398" spans="6:6" x14ac:dyDescent="0.15">
      <c r="F1398" t="s">
        <v>1836</v>
      </c>
    </row>
    <row r="1399" spans="6:6" x14ac:dyDescent="0.15">
      <c r="F1399" t="s">
        <v>1837</v>
      </c>
    </row>
    <row r="1400" spans="6:6" x14ac:dyDescent="0.15">
      <c r="F1400" t="s">
        <v>1838</v>
      </c>
    </row>
    <row r="1401" spans="6:6" x14ac:dyDescent="0.15">
      <c r="F1401" t="s">
        <v>1839</v>
      </c>
    </row>
    <row r="1402" spans="6:6" x14ac:dyDescent="0.15">
      <c r="F1402" t="s">
        <v>1840</v>
      </c>
    </row>
    <row r="1403" spans="6:6" x14ac:dyDescent="0.15">
      <c r="F1403" t="s">
        <v>1841</v>
      </c>
    </row>
    <row r="1404" spans="6:6" x14ac:dyDescent="0.15">
      <c r="F1404" t="s">
        <v>1842</v>
      </c>
    </row>
    <row r="1405" spans="6:6" x14ac:dyDescent="0.15">
      <c r="F1405" t="s">
        <v>1843</v>
      </c>
    </row>
    <row r="1406" spans="6:6" x14ac:dyDescent="0.15">
      <c r="F1406" t="s">
        <v>1844</v>
      </c>
    </row>
    <row r="1407" spans="6:6" x14ac:dyDescent="0.15">
      <c r="F1407" t="s">
        <v>1845</v>
      </c>
    </row>
    <row r="1408" spans="6:6" x14ac:dyDescent="0.15">
      <c r="F1408" t="s">
        <v>1846</v>
      </c>
    </row>
    <row r="1409" spans="6:6" x14ac:dyDescent="0.15">
      <c r="F1409" t="s">
        <v>1847</v>
      </c>
    </row>
    <row r="1410" spans="6:6" x14ac:dyDescent="0.15">
      <c r="F1410" t="s">
        <v>1848</v>
      </c>
    </row>
    <row r="1411" spans="6:6" x14ac:dyDescent="0.15">
      <c r="F1411" t="s">
        <v>1849</v>
      </c>
    </row>
    <row r="1412" spans="6:6" x14ac:dyDescent="0.15">
      <c r="F1412" t="s">
        <v>1850</v>
      </c>
    </row>
    <row r="1413" spans="6:6" x14ac:dyDescent="0.15">
      <c r="F1413" t="s">
        <v>1851</v>
      </c>
    </row>
    <row r="1414" spans="6:6" x14ac:dyDescent="0.15">
      <c r="F1414" t="s">
        <v>1852</v>
      </c>
    </row>
    <row r="1415" spans="6:6" x14ac:dyDescent="0.15">
      <c r="F1415" t="s">
        <v>1853</v>
      </c>
    </row>
    <row r="1416" spans="6:6" x14ac:dyDescent="0.15">
      <c r="F1416" t="s">
        <v>1854</v>
      </c>
    </row>
    <row r="1417" spans="6:6" x14ac:dyDescent="0.15">
      <c r="F1417" t="s">
        <v>1855</v>
      </c>
    </row>
    <row r="1418" spans="6:6" x14ac:dyDescent="0.15">
      <c r="F1418" t="s">
        <v>1856</v>
      </c>
    </row>
    <row r="1419" spans="6:6" x14ac:dyDescent="0.15">
      <c r="F1419" t="s">
        <v>1857</v>
      </c>
    </row>
    <row r="1420" spans="6:6" x14ac:dyDescent="0.15">
      <c r="F1420" t="s">
        <v>1858</v>
      </c>
    </row>
    <row r="1421" spans="6:6" x14ac:dyDescent="0.15">
      <c r="F1421" t="s">
        <v>1859</v>
      </c>
    </row>
    <row r="1422" spans="6:6" x14ac:dyDescent="0.15">
      <c r="F1422" t="s">
        <v>989</v>
      </c>
    </row>
    <row r="1423" spans="6:6" x14ac:dyDescent="0.15">
      <c r="F1423" t="s">
        <v>1860</v>
      </c>
    </row>
    <row r="1424" spans="6:6" x14ac:dyDescent="0.15">
      <c r="F1424" t="s">
        <v>1861</v>
      </c>
    </row>
    <row r="1425" spans="6:6" x14ac:dyDescent="0.15">
      <c r="F1425" t="s">
        <v>1862</v>
      </c>
    </row>
    <row r="1426" spans="6:6" x14ac:dyDescent="0.15">
      <c r="F1426" t="s">
        <v>1863</v>
      </c>
    </row>
    <row r="1427" spans="6:6" x14ac:dyDescent="0.15">
      <c r="F1427" t="s">
        <v>96</v>
      </c>
    </row>
    <row r="1428" spans="6:6" x14ac:dyDescent="0.15">
      <c r="F1428" t="s">
        <v>1864</v>
      </c>
    </row>
    <row r="1429" spans="6:6" x14ac:dyDescent="0.15">
      <c r="F1429" t="s">
        <v>1865</v>
      </c>
    </row>
    <row r="1430" spans="6:6" x14ac:dyDescent="0.15">
      <c r="F1430" t="s">
        <v>1866</v>
      </c>
    </row>
    <row r="1431" spans="6:6" x14ac:dyDescent="0.15">
      <c r="F1431" t="s">
        <v>1867</v>
      </c>
    </row>
    <row r="1432" spans="6:6" x14ac:dyDescent="0.15">
      <c r="F1432" t="s">
        <v>1868</v>
      </c>
    </row>
    <row r="1433" spans="6:6" x14ac:dyDescent="0.15">
      <c r="F1433" t="s">
        <v>1869</v>
      </c>
    </row>
    <row r="1434" spans="6:6" x14ac:dyDescent="0.15">
      <c r="F1434" t="s">
        <v>1870</v>
      </c>
    </row>
    <row r="1435" spans="6:6" x14ac:dyDescent="0.15">
      <c r="F1435" t="s">
        <v>909</v>
      </c>
    </row>
    <row r="1436" spans="6:6" x14ac:dyDescent="0.15">
      <c r="F1436" t="s">
        <v>1871</v>
      </c>
    </row>
    <row r="1437" spans="6:6" x14ac:dyDescent="0.15">
      <c r="F1437" t="s">
        <v>1872</v>
      </c>
    </row>
    <row r="1438" spans="6:6" x14ac:dyDescent="0.15">
      <c r="F1438" t="s">
        <v>1873</v>
      </c>
    </row>
    <row r="1439" spans="6:6" x14ac:dyDescent="0.15">
      <c r="F1439" t="s">
        <v>1874</v>
      </c>
    </row>
    <row r="1440" spans="6:6" x14ac:dyDescent="0.15">
      <c r="F1440" t="s">
        <v>1875</v>
      </c>
    </row>
    <row r="1441" spans="6:6" x14ac:dyDescent="0.15">
      <c r="F1441" t="s">
        <v>1876</v>
      </c>
    </row>
    <row r="1442" spans="6:6" x14ac:dyDescent="0.15">
      <c r="F1442" t="s">
        <v>1877</v>
      </c>
    </row>
    <row r="1443" spans="6:6" x14ac:dyDescent="0.15">
      <c r="F1443" t="s">
        <v>1878</v>
      </c>
    </row>
    <row r="1444" spans="6:6" x14ac:dyDescent="0.15">
      <c r="F1444" t="s">
        <v>1879</v>
      </c>
    </row>
    <row r="1445" spans="6:6" x14ac:dyDescent="0.15">
      <c r="F1445" t="s">
        <v>1880</v>
      </c>
    </row>
    <row r="1446" spans="6:6" x14ac:dyDescent="0.15">
      <c r="F1446" t="s">
        <v>1881</v>
      </c>
    </row>
    <row r="1447" spans="6:6" x14ac:dyDescent="0.15">
      <c r="F1447" t="s">
        <v>1882</v>
      </c>
    </row>
    <row r="1448" spans="6:6" x14ac:dyDescent="0.15">
      <c r="F1448" t="s">
        <v>1883</v>
      </c>
    </row>
    <row r="1449" spans="6:6" x14ac:dyDescent="0.15">
      <c r="F1449" t="s">
        <v>1884</v>
      </c>
    </row>
    <row r="1450" spans="6:6" x14ac:dyDescent="0.15">
      <c r="F1450" t="s">
        <v>1885</v>
      </c>
    </row>
    <row r="1451" spans="6:6" x14ac:dyDescent="0.15">
      <c r="F1451" t="s">
        <v>1886</v>
      </c>
    </row>
    <row r="1452" spans="6:6" x14ac:dyDescent="0.15">
      <c r="F1452" t="s">
        <v>1887</v>
      </c>
    </row>
    <row r="1453" spans="6:6" x14ac:dyDescent="0.15">
      <c r="F1453" t="s">
        <v>1888</v>
      </c>
    </row>
    <row r="1454" spans="6:6" x14ac:dyDescent="0.15">
      <c r="F1454" t="s">
        <v>1889</v>
      </c>
    </row>
    <row r="1455" spans="6:6" x14ac:dyDescent="0.15">
      <c r="F1455" t="s">
        <v>1890</v>
      </c>
    </row>
    <row r="1456" spans="6:6" x14ac:dyDescent="0.15">
      <c r="F1456" t="s">
        <v>1891</v>
      </c>
    </row>
    <row r="1457" spans="6:6" x14ac:dyDescent="0.15">
      <c r="F1457" t="s">
        <v>1892</v>
      </c>
    </row>
    <row r="1458" spans="6:6" x14ac:dyDescent="0.15">
      <c r="F1458" t="s">
        <v>1893</v>
      </c>
    </row>
    <row r="1459" spans="6:6" x14ac:dyDescent="0.15">
      <c r="F1459" t="s">
        <v>1894</v>
      </c>
    </row>
    <row r="1460" spans="6:6" x14ac:dyDescent="0.15">
      <c r="F1460" t="s">
        <v>1895</v>
      </c>
    </row>
    <row r="1461" spans="6:6" x14ac:dyDescent="0.15">
      <c r="F1461" t="s">
        <v>1896</v>
      </c>
    </row>
    <row r="1462" spans="6:6" x14ac:dyDescent="0.15">
      <c r="F1462" t="s">
        <v>1897</v>
      </c>
    </row>
    <row r="1463" spans="6:6" x14ac:dyDescent="0.15">
      <c r="F1463" t="s">
        <v>1898</v>
      </c>
    </row>
    <row r="1464" spans="6:6" x14ac:dyDescent="0.15">
      <c r="F1464" t="s">
        <v>1899</v>
      </c>
    </row>
    <row r="1465" spans="6:6" x14ac:dyDescent="0.15">
      <c r="F1465" t="s">
        <v>1900</v>
      </c>
    </row>
    <row r="1466" spans="6:6" x14ac:dyDescent="0.15">
      <c r="F1466" t="s">
        <v>1901</v>
      </c>
    </row>
    <row r="1467" spans="6:6" x14ac:dyDescent="0.15">
      <c r="F1467" t="s">
        <v>1902</v>
      </c>
    </row>
    <row r="1468" spans="6:6" x14ac:dyDescent="0.15">
      <c r="F1468" t="s">
        <v>1903</v>
      </c>
    </row>
    <row r="1469" spans="6:6" x14ac:dyDescent="0.15">
      <c r="F1469" t="s">
        <v>1904</v>
      </c>
    </row>
    <row r="1470" spans="6:6" x14ac:dyDescent="0.15">
      <c r="F1470" t="s">
        <v>1905</v>
      </c>
    </row>
    <row r="1471" spans="6:6" x14ac:dyDescent="0.15">
      <c r="F1471" t="s">
        <v>1906</v>
      </c>
    </row>
    <row r="1472" spans="6:6" x14ac:dyDescent="0.15">
      <c r="F1472" t="s">
        <v>1907</v>
      </c>
    </row>
    <row r="1473" spans="6:6" x14ac:dyDescent="0.15">
      <c r="F1473" t="s">
        <v>1908</v>
      </c>
    </row>
    <row r="1474" spans="6:6" x14ac:dyDescent="0.15">
      <c r="F1474" t="s">
        <v>1909</v>
      </c>
    </row>
    <row r="1475" spans="6:6" x14ac:dyDescent="0.15">
      <c r="F1475" t="s">
        <v>1910</v>
      </c>
    </row>
    <row r="1476" spans="6:6" x14ac:dyDescent="0.15">
      <c r="F1476" t="s">
        <v>1911</v>
      </c>
    </row>
    <row r="1477" spans="6:6" x14ac:dyDescent="0.15">
      <c r="F1477" t="s">
        <v>1912</v>
      </c>
    </row>
    <row r="1478" spans="6:6" x14ac:dyDescent="0.15">
      <c r="F1478" t="s">
        <v>1913</v>
      </c>
    </row>
    <row r="1479" spans="6:6" x14ac:dyDescent="0.15">
      <c r="F1479" t="s">
        <v>1914</v>
      </c>
    </row>
    <row r="1480" spans="6:6" x14ac:dyDescent="0.15">
      <c r="F1480" t="s">
        <v>1915</v>
      </c>
    </row>
    <row r="1481" spans="6:6" x14ac:dyDescent="0.15">
      <c r="F1481" t="s">
        <v>1916</v>
      </c>
    </row>
    <row r="1482" spans="6:6" x14ac:dyDescent="0.15">
      <c r="F1482" t="s">
        <v>1917</v>
      </c>
    </row>
    <row r="1483" spans="6:6" x14ac:dyDescent="0.15">
      <c r="F1483" t="s">
        <v>1918</v>
      </c>
    </row>
    <row r="1484" spans="6:6" x14ac:dyDescent="0.15">
      <c r="F1484" t="s">
        <v>1919</v>
      </c>
    </row>
    <row r="1485" spans="6:6" x14ac:dyDescent="0.15">
      <c r="F1485" t="s">
        <v>1920</v>
      </c>
    </row>
    <row r="1486" spans="6:6" x14ac:dyDescent="0.15">
      <c r="F1486" t="s">
        <v>1921</v>
      </c>
    </row>
    <row r="1487" spans="6:6" x14ac:dyDescent="0.15">
      <c r="F1487" t="s">
        <v>1922</v>
      </c>
    </row>
    <row r="1488" spans="6:6" x14ac:dyDescent="0.15">
      <c r="F1488" t="s">
        <v>1923</v>
      </c>
    </row>
    <row r="1489" spans="6:6" x14ac:dyDescent="0.15">
      <c r="F1489" t="s">
        <v>1924</v>
      </c>
    </row>
    <row r="1490" spans="6:6" x14ac:dyDescent="0.15">
      <c r="F1490" t="s">
        <v>1925</v>
      </c>
    </row>
    <row r="1491" spans="6:6" x14ac:dyDescent="0.15">
      <c r="F1491" t="s">
        <v>1926</v>
      </c>
    </row>
    <row r="1492" spans="6:6" x14ac:dyDescent="0.15">
      <c r="F1492" t="s">
        <v>1927</v>
      </c>
    </row>
    <row r="1493" spans="6:6" x14ac:dyDescent="0.15">
      <c r="F1493" t="s">
        <v>1928</v>
      </c>
    </row>
    <row r="1494" spans="6:6" x14ac:dyDescent="0.15">
      <c r="F1494" t="s">
        <v>1929</v>
      </c>
    </row>
    <row r="1495" spans="6:6" x14ac:dyDescent="0.15">
      <c r="F1495" t="s">
        <v>1930</v>
      </c>
    </row>
    <row r="1496" spans="6:6" x14ac:dyDescent="0.15">
      <c r="F1496" t="s">
        <v>1931</v>
      </c>
    </row>
    <row r="1497" spans="6:6" x14ac:dyDescent="0.15">
      <c r="F1497" t="s">
        <v>1932</v>
      </c>
    </row>
    <row r="1498" spans="6:6" x14ac:dyDescent="0.15">
      <c r="F1498" t="s">
        <v>1933</v>
      </c>
    </row>
    <row r="1499" spans="6:6" x14ac:dyDescent="0.15">
      <c r="F1499" t="s">
        <v>1934</v>
      </c>
    </row>
    <row r="1500" spans="6:6" x14ac:dyDescent="0.15">
      <c r="F1500" t="s">
        <v>1935</v>
      </c>
    </row>
    <row r="1501" spans="6:6" x14ac:dyDescent="0.15">
      <c r="F1501" t="s">
        <v>1936</v>
      </c>
    </row>
    <row r="1502" spans="6:6" x14ac:dyDescent="0.15">
      <c r="F1502" t="s">
        <v>1937</v>
      </c>
    </row>
    <row r="1503" spans="6:6" x14ac:dyDescent="0.15">
      <c r="F1503" t="s">
        <v>1938</v>
      </c>
    </row>
    <row r="1504" spans="6:6" x14ac:dyDescent="0.15">
      <c r="F1504" t="s">
        <v>1939</v>
      </c>
    </row>
    <row r="1505" spans="6:6" x14ac:dyDescent="0.15">
      <c r="F1505" t="s">
        <v>1940</v>
      </c>
    </row>
    <row r="1506" spans="6:6" x14ac:dyDescent="0.15">
      <c r="F1506" t="s">
        <v>1941</v>
      </c>
    </row>
    <row r="1507" spans="6:6" x14ac:dyDescent="0.15">
      <c r="F1507" t="s">
        <v>1942</v>
      </c>
    </row>
    <row r="1508" spans="6:6" x14ac:dyDescent="0.15">
      <c r="F1508" t="s">
        <v>1943</v>
      </c>
    </row>
    <row r="1509" spans="6:6" x14ac:dyDescent="0.15">
      <c r="F1509" t="s">
        <v>1944</v>
      </c>
    </row>
    <row r="1510" spans="6:6" x14ac:dyDescent="0.15">
      <c r="F1510" t="s">
        <v>1945</v>
      </c>
    </row>
    <row r="1511" spans="6:6" x14ac:dyDescent="0.15">
      <c r="F1511" t="s">
        <v>1946</v>
      </c>
    </row>
    <row r="1512" spans="6:6" x14ac:dyDescent="0.15">
      <c r="F1512" t="s">
        <v>1947</v>
      </c>
    </row>
    <row r="1513" spans="6:6" x14ac:dyDescent="0.15">
      <c r="F1513" t="s">
        <v>1948</v>
      </c>
    </row>
    <row r="1514" spans="6:6" x14ac:dyDescent="0.15">
      <c r="F1514" t="s">
        <v>1949</v>
      </c>
    </row>
    <row r="1515" spans="6:6" x14ac:dyDescent="0.15">
      <c r="F1515" t="s">
        <v>1950</v>
      </c>
    </row>
    <row r="1516" spans="6:6" x14ac:dyDescent="0.15">
      <c r="F1516" t="s">
        <v>1951</v>
      </c>
    </row>
    <row r="1517" spans="6:6" x14ac:dyDescent="0.15">
      <c r="F1517" t="s">
        <v>1952</v>
      </c>
    </row>
    <row r="1518" spans="6:6" x14ac:dyDescent="0.15">
      <c r="F1518" t="s">
        <v>1953</v>
      </c>
    </row>
    <row r="1519" spans="6:6" x14ac:dyDescent="0.15">
      <c r="F1519" t="s">
        <v>1954</v>
      </c>
    </row>
    <row r="1520" spans="6:6" x14ac:dyDescent="0.15">
      <c r="F1520" t="s">
        <v>1955</v>
      </c>
    </row>
    <row r="1521" spans="6:6" x14ac:dyDescent="0.15">
      <c r="F1521" t="s">
        <v>1956</v>
      </c>
    </row>
    <row r="1522" spans="6:6" x14ac:dyDescent="0.15">
      <c r="F1522" t="s">
        <v>1957</v>
      </c>
    </row>
    <row r="1523" spans="6:6" x14ac:dyDescent="0.15">
      <c r="F1523" t="s">
        <v>1958</v>
      </c>
    </row>
    <row r="1524" spans="6:6" x14ac:dyDescent="0.15">
      <c r="F1524" t="s">
        <v>1959</v>
      </c>
    </row>
    <row r="1525" spans="6:6" x14ac:dyDescent="0.15">
      <c r="F1525" t="s">
        <v>1960</v>
      </c>
    </row>
    <row r="1526" spans="6:6" x14ac:dyDescent="0.15">
      <c r="F1526" t="s">
        <v>1961</v>
      </c>
    </row>
    <row r="1527" spans="6:6" x14ac:dyDescent="0.15">
      <c r="F1527" t="s">
        <v>1962</v>
      </c>
    </row>
    <row r="1528" spans="6:6" x14ac:dyDescent="0.15">
      <c r="F1528" t="s">
        <v>1963</v>
      </c>
    </row>
    <row r="1529" spans="6:6" x14ac:dyDescent="0.15">
      <c r="F1529" t="s">
        <v>1964</v>
      </c>
    </row>
    <row r="1530" spans="6:6" x14ac:dyDescent="0.15">
      <c r="F1530" t="s">
        <v>1965</v>
      </c>
    </row>
    <row r="1531" spans="6:6" x14ac:dyDescent="0.15">
      <c r="F1531" t="s">
        <v>1966</v>
      </c>
    </row>
    <row r="1532" spans="6:6" x14ac:dyDescent="0.15">
      <c r="F1532" t="s">
        <v>1967</v>
      </c>
    </row>
    <row r="1533" spans="6:6" x14ac:dyDescent="0.15">
      <c r="F1533" t="s">
        <v>1968</v>
      </c>
    </row>
    <row r="1534" spans="6:6" x14ac:dyDescent="0.15">
      <c r="F1534" t="s">
        <v>1969</v>
      </c>
    </row>
    <row r="1535" spans="6:6" x14ac:dyDescent="0.15">
      <c r="F1535" t="s">
        <v>1970</v>
      </c>
    </row>
    <row r="1536" spans="6:6" x14ac:dyDescent="0.15">
      <c r="F1536" t="s">
        <v>1971</v>
      </c>
    </row>
    <row r="1537" spans="6:6" x14ac:dyDescent="0.15">
      <c r="F1537" t="s">
        <v>1972</v>
      </c>
    </row>
    <row r="1538" spans="6:6" x14ac:dyDescent="0.15">
      <c r="F1538" t="s">
        <v>1973</v>
      </c>
    </row>
    <row r="1539" spans="6:6" x14ac:dyDescent="0.15">
      <c r="F1539" t="s">
        <v>1974</v>
      </c>
    </row>
    <row r="1540" spans="6:6" x14ac:dyDescent="0.15">
      <c r="F1540" t="s">
        <v>1975</v>
      </c>
    </row>
    <row r="1541" spans="6:6" x14ac:dyDescent="0.15">
      <c r="F1541" t="s">
        <v>1976</v>
      </c>
    </row>
    <row r="1542" spans="6:6" x14ac:dyDescent="0.15">
      <c r="F1542" t="s">
        <v>1977</v>
      </c>
    </row>
    <row r="1543" spans="6:6" x14ac:dyDescent="0.15">
      <c r="F1543" t="s">
        <v>1978</v>
      </c>
    </row>
    <row r="1544" spans="6:6" x14ac:dyDescent="0.15">
      <c r="F1544" t="s">
        <v>1979</v>
      </c>
    </row>
    <row r="1545" spans="6:6" x14ac:dyDescent="0.15">
      <c r="F1545" t="s">
        <v>1980</v>
      </c>
    </row>
    <row r="1546" spans="6:6" x14ac:dyDescent="0.15">
      <c r="F1546" t="s">
        <v>1981</v>
      </c>
    </row>
    <row r="1547" spans="6:6" x14ac:dyDescent="0.15">
      <c r="F1547" t="s">
        <v>1982</v>
      </c>
    </row>
    <row r="1548" spans="6:6" x14ac:dyDescent="0.15">
      <c r="F1548" t="s">
        <v>1983</v>
      </c>
    </row>
    <row r="1549" spans="6:6" x14ac:dyDescent="0.15">
      <c r="F1549" t="s">
        <v>1984</v>
      </c>
    </row>
    <row r="1550" spans="6:6" x14ac:dyDescent="0.15">
      <c r="F1550" t="s">
        <v>1985</v>
      </c>
    </row>
    <row r="1551" spans="6:6" x14ac:dyDescent="0.15">
      <c r="F1551" t="s">
        <v>1986</v>
      </c>
    </row>
    <row r="1552" spans="6:6" x14ac:dyDescent="0.15">
      <c r="F1552" t="s">
        <v>1987</v>
      </c>
    </row>
    <row r="1553" spans="6:6" x14ac:dyDescent="0.15">
      <c r="F1553" t="s">
        <v>1988</v>
      </c>
    </row>
    <row r="1554" spans="6:6" x14ac:dyDescent="0.15">
      <c r="F1554" t="s">
        <v>1989</v>
      </c>
    </row>
    <row r="1555" spans="6:6" x14ac:dyDescent="0.15">
      <c r="F1555" t="s">
        <v>1990</v>
      </c>
    </row>
    <row r="1556" spans="6:6" x14ac:dyDescent="0.15">
      <c r="F1556" t="s">
        <v>1991</v>
      </c>
    </row>
    <row r="1557" spans="6:6" x14ac:dyDescent="0.15">
      <c r="F1557" t="s">
        <v>1992</v>
      </c>
    </row>
    <row r="1558" spans="6:6" x14ac:dyDescent="0.15">
      <c r="F1558" t="s">
        <v>1993</v>
      </c>
    </row>
    <row r="1559" spans="6:6" x14ac:dyDescent="0.15">
      <c r="F1559" t="s">
        <v>1994</v>
      </c>
    </row>
    <row r="1560" spans="6:6" x14ac:dyDescent="0.15">
      <c r="F1560" t="s">
        <v>1995</v>
      </c>
    </row>
    <row r="1561" spans="6:6" x14ac:dyDescent="0.15">
      <c r="F1561" t="s">
        <v>1996</v>
      </c>
    </row>
    <row r="1562" spans="6:6" x14ac:dyDescent="0.15">
      <c r="F1562" t="s">
        <v>1997</v>
      </c>
    </row>
    <row r="1563" spans="6:6" x14ac:dyDescent="0.15">
      <c r="F1563" t="s">
        <v>1998</v>
      </c>
    </row>
    <row r="1564" spans="6:6" x14ac:dyDescent="0.15">
      <c r="F1564" t="s">
        <v>1999</v>
      </c>
    </row>
    <row r="1565" spans="6:6" x14ac:dyDescent="0.15">
      <c r="F1565" t="s">
        <v>2000</v>
      </c>
    </row>
    <row r="1566" spans="6:6" x14ac:dyDescent="0.15">
      <c r="F1566" t="s">
        <v>2001</v>
      </c>
    </row>
    <row r="1567" spans="6:6" x14ac:dyDescent="0.15">
      <c r="F1567" t="s">
        <v>2002</v>
      </c>
    </row>
    <row r="1568" spans="6:6" x14ac:dyDescent="0.15">
      <c r="F1568" t="s">
        <v>2003</v>
      </c>
    </row>
    <row r="1569" spans="6:6" x14ac:dyDescent="0.15">
      <c r="F1569" t="s">
        <v>2004</v>
      </c>
    </row>
    <row r="1570" spans="6:6" x14ac:dyDescent="0.15">
      <c r="F1570" t="s">
        <v>2005</v>
      </c>
    </row>
    <row r="1571" spans="6:6" x14ac:dyDescent="0.15">
      <c r="F1571" t="s">
        <v>2006</v>
      </c>
    </row>
    <row r="1572" spans="6:6" x14ac:dyDescent="0.15">
      <c r="F1572" t="s">
        <v>2007</v>
      </c>
    </row>
    <row r="1573" spans="6:6" x14ac:dyDescent="0.15">
      <c r="F1573" t="s">
        <v>2008</v>
      </c>
    </row>
    <row r="1574" spans="6:6" x14ac:dyDescent="0.15">
      <c r="F1574" t="s">
        <v>2009</v>
      </c>
    </row>
    <row r="1575" spans="6:6" x14ac:dyDescent="0.15">
      <c r="F1575" t="s">
        <v>134</v>
      </c>
    </row>
    <row r="1576" spans="6:6" x14ac:dyDescent="0.15">
      <c r="F1576" t="s">
        <v>2010</v>
      </c>
    </row>
    <row r="1577" spans="6:6" x14ac:dyDescent="0.15">
      <c r="F1577" t="s">
        <v>2011</v>
      </c>
    </row>
    <row r="1578" spans="6:6" x14ac:dyDescent="0.15">
      <c r="F1578" t="s">
        <v>2012</v>
      </c>
    </row>
    <row r="1579" spans="6:6" x14ac:dyDescent="0.15">
      <c r="F1579" t="s">
        <v>2013</v>
      </c>
    </row>
    <row r="1580" spans="6:6" x14ac:dyDescent="0.15">
      <c r="F1580" t="s">
        <v>2014</v>
      </c>
    </row>
    <row r="1581" spans="6:6" x14ac:dyDescent="0.15">
      <c r="F1581" t="s">
        <v>2015</v>
      </c>
    </row>
    <row r="1582" spans="6:6" x14ac:dyDescent="0.15">
      <c r="F1582" t="s">
        <v>2016</v>
      </c>
    </row>
    <row r="1583" spans="6:6" x14ac:dyDescent="0.15">
      <c r="F1583" t="s">
        <v>2017</v>
      </c>
    </row>
    <row r="1584" spans="6:6" x14ac:dyDescent="0.15">
      <c r="F1584" t="s">
        <v>2018</v>
      </c>
    </row>
    <row r="1585" spans="6:6" x14ac:dyDescent="0.15">
      <c r="F1585" t="s">
        <v>2019</v>
      </c>
    </row>
    <row r="1586" spans="6:6" x14ac:dyDescent="0.15">
      <c r="F1586" t="s">
        <v>2020</v>
      </c>
    </row>
    <row r="1587" spans="6:6" x14ac:dyDescent="0.15">
      <c r="F1587" t="s">
        <v>2021</v>
      </c>
    </row>
    <row r="1588" spans="6:6" x14ac:dyDescent="0.15">
      <c r="F1588" t="s">
        <v>2022</v>
      </c>
    </row>
    <row r="1589" spans="6:6" x14ac:dyDescent="0.15">
      <c r="F1589" t="s">
        <v>2023</v>
      </c>
    </row>
    <row r="1590" spans="6:6" x14ac:dyDescent="0.15">
      <c r="F1590" t="s">
        <v>2024</v>
      </c>
    </row>
    <row r="1591" spans="6:6" x14ac:dyDescent="0.15">
      <c r="F1591" t="s">
        <v>2025</v>
      </c>
    </row>
    <row r="1592" spans="6:6" x14ac:dyDescent="0.15">
      <c r="F1592" t="s">
        <v>2026</v>
      </c>
    </row>
    <row r="1593" spans="6:6" x14ac:dyDescent="0.15">
      <c r="F1593" t="s">
        <v>2027</v>
      </c>
    </row>
    <row r="1594" spans="6:6" x14ac:dyDescent="0.15">
      <c r="F1594" t="s">
        <v>2028</v>
      </c>
    </row>
    <row r="1595" spans="6:6" x14ac:dyDescent="0.15">
      <c r="F1595" t="s">
        <v>2029</v>
      </c>
    </row>
    <row r="1596" spans="6:6" x14ac:dyDescent="0.15">
      <c r="F1596" t="s">
        <v>2030</v>
      </c>
    </row>
    <row r="1597" spans="6:6" x14ac:dyDescent="0.15">
      <c r="F1597" t="s">
        <v>2031</v>
      </c>
    </row>
    <row r="1598" spans="6:6" x14ac:dyDescent="0.15">
      <c r="F1598" t="s">
        <v>2032</v>
      </c>
    </row>
    <row r="1599" spans="6:6" x14ac:dyDescent="0.15">
      <c r="F1599" t="s">
        <v>2033</v>
      </c>
    </row>
    <row r="1600" spans="6:6" x14ac:dyDescent="0.15">
      <c r="F1600" t="s">
        <v>946</v>
      </c>
    </row>
    <row r="1601" spans="6:6" x14ac:dyDescent="0.15">
      <c r="F1601" t="s">
        <v>2034</v>
      </c>
    </row>
    <row r="1602" spans="6:6" x14ac:dyDescent="0.15">
      <c r="F1602" t="s">
        <v>2035</v>
      </c>
    </row>
    <row r="1603" spans="6:6" x14ac:dyDescent="0.15">
      <c r="F1603" t="s">
        <v>2036</v>
      </c>
    </row>
    <row r="1604" spans="6:6" x14ac:dyDescent="0.15">
      <c r="F1604" t="s">
        <v>2037</v>
      </c>
    </row>
    <row r="1605" spans="6:6" x14ac:dyDescent="0.15">
      <c r="F1605" t="s">
        <v>2038</v>
      </c>
    </row>
    <row r="1606" spans="6:6" x14ac:dyDescent="0.15">
      <c r="F1606" t="s">
        <v>2039</v>
      </c>
    </row>
    <row r="1607" spans="6:6" x14ac:dyDescent="0.15">
      <c r="F1607" t="s">
        <v>2040</v>
      </c>
    </row>
    <row r="1608" spans="6:6" x14ac:dyDescent="0.15">
      <c r="F1608" t="s">
        <v>2041</v>
      </c>
    </row>
    <row r="1609" spans="6:6" x14ac:dyDescent="0.15">
      <c r="F1609" t="s">
        <v>2042</v>
      </c>
    </row>
    <row r="1610" spans="6:6" x14ac:dyDescent="0.15">
      <c r="F1610" t="s">
        <v>2043</v>
      </c>
    </row>
    <row r="1611" spans="6:6" x14ac:dyDescent="0.15">
      <c r="F1611" t="s">
        <v>2044</v>
      </c>
    </row>
    <row r="1612" spans="6:6" x14ac:dyDescent="0.15">
      <c r="F1612" t="s">
        <v>2045</v>
      </c>
    </row>
    <row r="1613" spans="6:6" x14ac:dyDescent="0.15">
      <c r="F1613" t="s">
        <v>2046</v>
      </c>
    </row>
    <row r="1614" spans="6:6" x14ac:dyDescent="0.15">
      <c r="F1614" t="s">
        <v>2047</v>
      </c>
    </row>
    <row r="1615" spans="6:6" x14ac:dyDescent="0.15">
      <c r="F1615" t="s">
        <v>2048</v>
      </c>
    </row>
    <row r="1616" spans="6:6" x14ac:dyDescent="0.15">
      <c r="F1616" t="s">
        <v>2049</v>
      </c>
    </row>
    <row r="1617" spans="6:6" x14ac:dyDescent="0.15">
      <c r="F1617" t="s">
        <v>2050</v>
      </c>
    </row>
    <row r="1618" spans="6:6" x14ac:dyDescent="0.15">
      <c r="F1618" t="s">
        <v>2051</v>
      </c>
    </row>
    <row r="1619" spans="6:6" x14ac:dyDescent="0.15">
      <c r="F1619" t="s">
        <v>2052</v>
      </c>
    </row>
    <row r="1620" spans="6:6" x14ac:dyDescent="0.15">
      <c r="F1620" t="s">
        <v>2053</v>
      </c>
    </row>
    <row r="1621" spans="6:6" x14ac:dyDescent="0.15">
      <c r="F1621" t="s">
        <v>2054</v>
      </c>
    </row>
    <row r="1622" spans="6:6" x14ac:dyDescent="0.15">
      <c r="F1622" t="s">
        <v>2055</v>
      </c>
    </row>
    <row r="1623" spans="6:6" x14ac:dyDescent="0.15">
      <c r="F1623" t="s">
        <v>2056</v>
      </c>
    </row>
    <row r="1624" spans="6:6" x14ac:dyDescent="0.15">
      <c r="F1624" t="s">
        <v>2057</v>
      </c>
    </row>
    <row r="1625" spans="6:6" x14ac:dyDescent="0.15">
      <c r="F1625" t="s">
        <v>2058</v>
      </c>
    </row>
    <row r="1626" spans="6:6" x14ac:dyDescent="0.15">
      <c r="F1626" t="s">
        <v>2059</v>
      </c>
    </row>
    <row r="1627" spans="6:6" x14ac:dyDescent="0.15">
      <c r="F1627" t="s">
        <v>2060</v>
      </c>
    </row>
    <row r="1628" spans="6:6" x14ac:dyDescent="0.15">
      <c r="F1628" t="s">
        <v>2061</v>
      </c>
    </row>
    <row r="1629" spans="6:6" x14ac:dyDescent="0.15">
      <c r="F1629" t="s">
        <v>2062</v>
      </c>
    </row>
    <row r="1630" spans="6:6" x14ac:dyDescent="0.15">
      <c r="F1630" t="s">
        <v>2063</v>
      </c>
    </row>
    <row r="1631" spans="6:6" x14ac:dyDescent="0.15">
      <c r="F1631" t="s">
        <v>2064</v>
      </c>
    </row>
    <row r="1632" spans="6:6" x14ac:dyDescent="0.15">
      <c r="F1632" t="s">
        <v>2065</v>
      </c>
    </row>
    <row r="1633" spans="6:6" x14ac:dyDescent="0.15">
      <c r="F1633" t="s">
        <v>2066</v>
      </c>
    </row>
    <row r="1634" spans="6:6" x14ac:dyDescent="0.15">
      <c r="F1634" t="s">
        <v>2067</v>
      </c>
    </row>
    <row r="1635" spans="6:6" x14ac:dyDescent="0.15">
      <c r="F1635" t="s">
        <v>2068</v>
      </c>
    </row>
    <row r="1636" spans="6:6" x14ac:dyDescent="0.15">
      <c r="F1636" t="s">
        <v>2069</v>
      </c>
    </row>
    <row r="1637" spans="6:6" x14ac:dyDescent="0.15">
      <c r="F1637" t="s">
        <v>2070</v>
      </c>
    </row>
    <row r="1638" spans="6:6" x14ac:dyDescent="0.15">
      <c r="F1638" t="s">
        <v>2071</v>
      </c>
    </row>
    <row r="1639" spans="6:6" x14ac:dyDescent="0.15">
      <c r="F1639" t="s">
        <v>2072</v>
      </c>
    </row>
    <row r="1640" spans="6:6" x14ac:dyDescent="0.15">
      <c r="F1640" t="s">
        <v>2073</v>
      </c>
    </row>
    <row r="1641" spans="6:6" x14ac:dyDescent="0.15">
      <c r="F1641" t="s">
        <v>2074</v>
      </c>
    </row>
    <row r="1642" spans="6:6" x14ac:dyDescent="0.15">
      <c r="F1642" t="s">
        <v>2075</v>
      </c>
    </row>
    <row r="1643" spans="6:6" x14ac:dyDescent="0.15">
      <c r="F1643" t="s">
        <v>2076</v>
      </c>
    </row>
    <row r="1644" spans="6:6" x14ac:dyDescent="0.15">
      <c r="F1644" t="s">
        <v>2077</v>
      </c>
    </row>
    <row r="1645" spans="6:6" x14ac:dyDescent="0.15">
      <c r="F1645" t="s">
        <v>2078</v>
      </c>
    </row>
    <row r="1646" spans="6:6" x14ac:dyDescent="0.15">
      <c r="F1646" t="s">
        <v>2079</v>
      </c>
    </row>
    <row r="1647" spans="6:6" x14ac:dyDescent="0.15">
      <c r="F1647" t="s">
        <v>2080</v>
      </c>
    </row>
    <row r="1648" spans="6:6" x14ac:dyDescent="0.15">
      <c r="F1648" t="s">
        <v>2081</v>
      </c>
    </row>
    <row r="1649" spans="6:6" x14ac:dyDescent="0.15">
      <c r="F1649" t="s">
        <v>2082</v>
      </c>
    </row>
    <row r="1650" spans="6:6" x14ac:dyDescent="0.15">
      <c r="F1650" t="s">
        <v>2083</v>
      </c>
    </row>
    <row r="1651" spans="6:6" x14ac:dyDescent="0.15">
      <c r="F1651" t="s">
        <v>2084</v>
      </c>
    </row>
    <row r="1652" spans="6:6" x14ac:dyDescent="0.15">
      <c r="F1652" t="s">
        <v>2085</v>
      </c>
    </row>
    <row r="1653" spans="6:6" x14ac:dyDescent="0.15">
      <c r="F1653" t="s">
        <v>2086</v>
      </c>
    </row>
    <row r="1654" spans="6:6" x14ac:dyDescent="0.15">
      <c r="F1654" t="s">
        <v>2087</v>
      </c>
    </row>
    <row r="1655" spans="6:6" x14ac:dyDescent="0.15">
      <c r="F1655" t="s">
        <v>2088</v>
      </c>
    </row>
    <row r="1656" spans="6:6" x14ac:dyDescent="0.15">
      <c r="F1656" t="s">
        <v>2089</v>
      </c>
    </row>
    <row r="1657" spans="6:6" x14ac:dyDescent="0.15">
      <c r="F1657" t="s">
        <v>2090</v>
      </c>
    </row>
    <row r="1658" spans="6:6" x14ac:dyDescent="0.15">
      <c r="F1658" t="s">
        <v>2091</v>
      </c>
    </row>
    <row r="1659" spans="6:6" x14ac:dyDescent="0.15">
      <c r="F1659" t="s">
        <v>2092</v>
      </c>
    </row>
    <row r="1660" spans="6:6" x14ac:dyDescent="0.15">
      <c r="F1660" t="s">
        <v>2093</v>
      </c>
    </row>
    <row r="1661" spans="6:6" x14ac:dyDescent="0.15">
      <c r="F1661" t="s">
        <v>2094</v>
      </c>
    </row>
    <row r="1662" spans="6:6" x14ac:dyDescent="0.15">
      <c r="F1662" t="s">
        <v>2095</v>
      </c>
    </row>
    <row r="1663" spans="6:6" x14ac:dyDescent="0.15">
      <c r="F1663" t="s">
        <v>2096</v>
      </c>
    </row>
    <row r="1664" spans="6:6" x14ac:dyDescent="0.15">
      <c r="F1664" t="s">
        <v>1006</v>
      </c>
    </row>
    <row r="1665" spans="6:6" x14ac:dyDescent="0.15">
      <c r="F1665" t="s">
        <v>2097</v>
      </c>
    </row>
    <row r="1666" spans="6:6" x14ac:dyDescent="0.15">
      <c r="F1666" t="s">
        <v>971</v>
      </c>
    </row>
    <row r="1667" spans="6:6" x14ac:dyDescent="0.15">
      <c r="F1667" t="s">
        <v>2098</v>
      </c>
    </row>
    <row r="1668" spans="6:6" x14ac:dyDescent="0.15">
      <c r="F1668" t="s">
        <v>2099</v>
      </c>
    </row>
    <row r="1669" spans="6:6" x14ac:dyDescent="0.15">
      <c r="F1669" t="s">
        <v>2100</v>
      </c>
    </row>
    <row r="1670" spans="6:6" x14ac:dyDescent="0.15">
      <c r="F1670" t="s">
        <v>2101</v>
      </c>
    </row>
    <row r="1671" spans="6:6" x14ac:dyDescent="0.15">
      <c r="F1671" t="s">
        <v>2102</v>
      </c>
    </row>
    <row r="1672" spans="6:6" x14ac:dyDescent="0.15">
      <c r="F1672" t="s">
        <v>2103</v>
      </c>
    </row>
    <row r="1673" spans="6:6" x14ac:dyDescent="0.15">
      <c r="F1673" t="s">
        <v>2104</v>
      </c>
    </row>
    <row r="1674" spans="6:6" x14ac:dyDescent="0.15">
      <c r="F1674" t="s">
        <v>2105</v>
      </c>
    </row>
    <row r="1675" spans="6:6" x14ac:dyDescent="0.15">
      <c r="F1675" t="s">
        <v>2106</v>
      </c>
    </row>
    <row r="1676" spans="6:6" x14ac:dyDescent="0.15">
      <c r="F1676" t="s">
        <v>2107</v>
      </c>
    </row>
    <row r="1677" spans="6:6" x14ac:dyDescent="0.15">
      <c r="F1677" t="s">
        <v>2108</v>
      </c>
    </row>
    <row r="1678" spans="6:6" x14ac:dyDescent="0.15">
      <c r="F1678" t="s">
        <v>2109</v>
      </c>
    </row>
    <row r="1679" spans="6:6" x14ac:dyDescent="0.15">
      <c r="F1679" t="s">
        <v>2110</v>
      </c>
    </row>
    <row r="1680" spans="6:6" x14ac:dyDescent="0.15">
      <c r="F1680" t="s">
        <v>2111</v>
      </c>
    </row>
    <row r="1681" spans="6:6" x14ac:dyDescent="0.15">
      <c r="F1681" t="s">
        <v>2112</v>
      </c>
    </row>
    <row r="1682" spans="6:6" x14ac:dyDescent="0.15">
      <c r="F1682" t="s">
        <v>2113</v>
      </c>
    </row>
    <row r="1683" spans="6:6" x14ac:dyDescent="0.15">
      <c r="F1683" t="s">
        <v>2114</v>
      </c>
    </row>
    <row r="1684" spans="6:6" x14ac:dyDescent="0.15">
      <c r="F1684" t="s">
        <v>2115</v>
      </c>
    </row>
    <row r="1685" spans="6:6" x14ac:dyDescent="0.15">
      <c r="F1685" t="s">
        <v>2116</v>
      </c>
    </row>
    <row r="1686" spans="6:6" x14ac:dyDescent="0.15">
      <c r="F1686" t="s">
        <v>2117</v>
      </c>
    </row>
    <row r="1687" spans="6:6" x14ac:dyDescent="0.15">
      <c r="F1687" t="s">
        <v>2118</v>
      </c>
    </row>
    <row r="1688" spans="6:6" x14ac:dyDescent="0.15">
      <c r="F1688" t="s">
        <v>2119</v>
      </c>
    </row>
    <row r="1689" spans="6:6" x14ac:dyDescent="0.15">
      <c r="F1689" t="s">
        <v>2120</v>
      </c>
    </row>
    <row r="1690" spans="6:6" x14ac:dyDescent="0.15">
      <c r="F1690" t="s">
        <v>2121</v>
      </c>
    </row>
    <row r="1691" spans="6:6" x14ac:dyDescent="0.15">
      <c r="F1691" t="s">
        <v>2122</v>
      </c>
    </row>
    <row r="1692" spans="6:6" x14ac:dyDescent="0.15">
      <c r="F1692" t="s">
        <v>2123</v>
      </c>
    </row>
    <row r="1693" spans="6:6" x14ac:dyDescent="0.15">
      <c r="F1693" t="s">
        <v>2124</v>
      </c>
    </row>
    <row r="1694" spans="6:6" x14ac:dyDescent="0.15">
      <c r="F1694" t="s">
        <v>2125</v>
      </c>
    </row>
    <row r="1695" spans="6:6" x14ac:dyDescent="0.15">
      <c r="F1695" t="s">
        <v>2126</v>
      </c>
    </row>
    <row r="1696" spans="6:6" x14ac:dyDescent="0.15">
      <c r="F1696" t="s">
        <v>2127</v>
      </c>
    </row>
    <row r="1697" spans="6:6" x14ac:dyDescent="0.15">
      <c r="F1697" t="s">
        <v>2128</v>
      </c>
    </row>
    <row r="1698" spans="6:6" x14ac:dyDescent="0.15">
      <c r="F1698" t="s">
        <v>2129</v>
      </c>
    </row>
    <row r="1699" spans="6:6" x14ac:dyDescent="0.15">
      <c r="F1699" t="s">
        <v>2130</v>
      </c>
    </row>
    <row r="1700" spans="6:6" x14ac:dyDescent="0.15">
      <c r="F1700" t="s">
        <v>2131</v>
      </c>
    </row>
    <row r="1701" spans="6:6" x14ac:dyDescent="0.15">
      <c r="F1701" t="s">
        <v>2132</v>
      </c>
    </row>
    <row r="1702" spans="6:6" x14ac:dyDescent="0.15">
      <c r="F1702" t="s">
        <v>2133</v>
      </c>
    </row>
    <row r="1703" spans="6:6" x14ac:dyDescent="0.15">
      <c r="F1703" t="s">
        <v>2134</v>
      </c>
    </row>
    <row r="1704" spans="6:6" x14ac:dyDescent="0.15">
      <c r="F1704" t="s">
        <v>2135</v>
      </c>
    </row>
    <row r="1705" spans="6:6" x14ac:dyDescent="0.15">
      <c r="F1705" t="s">
        <v>2136</v>
      </c>
    </row>
    <row r="1706" spans="6:6" x14ac:dyDescent="0.15">
      <c r="F1706" t="s">
        <v>2137</v>
      </c>
    </row>
    <row r="1707" spans="6:6" x14ac:dyDescent="0.15">
      <c r="F1707" t="s">
        <v>2138</v>
      </c>
    </row>
    <row r="1708" spans="6:6" x14ac:dyDescent="0.15">
      <c r="F1708" t="s">
        <v>2139</v>
      </c>
    </row>
    <row r="1709" spans="6:6" x14ac:dyDescent="0.15">
      <c r="F1709" t="s">
        <v>2140</v>
      </c>
    </row>
    <row r="1710" spans="6:6" x14ac:dyDescent="0.15">
      <c r="F1710" t="s">
        <v>2141</v>
      </c>
    </row>
    <row r="1711" spans="6:6" x14ac:dyDescent="0.15">
      <c r="F1711" t="s">
        <v>2142</v>
      </c>
    </row>
    <row r="1712" spans="6:6" x14ac:dyDescent="0.15">
      <c r="F1712" t="s">
        <v>2143</v>
      </c>
    </row>
    <row r="1713" spans="6:6" x14ac:dyDescent="0.15">
      <c r="F1713" t="s">
        <v>2144</v>
      </c>
    </row>
    <row r="1714" spans="6:6" x14ac:dyDescent="0.15">
      <c r="F1714" t="s">
        <v>2145</v>
      </c>
    </row>
    <row r="1715" spans="6:6" x14ac:dyDescent="0.15">
      <c r="F1715" t="s">
        <v>2146</v>
      </c>
    </row>
    <row r="1716" spans="6:6" x14ac:dyDescent="0.15">
      <c r="F1716" t="s">
        <v>2147</v>
      </c>
    </row>
    <row r="1717" spans="6:6" x14ac:dyDescent="0.15">
      <c r="F1717" t="s">
        <v>116</v>
      </c>
    </row>
    <row r="1718" spans="6:6" x14ac:dyDescent="0.15">
      <c r="F1718" t="s">
        <v>2148</v>
      </c>
    </row>
    <row r="1719" spans="6:6" x14ac:dyDescent="0.15">
      <c r="F1719" t="s">
        <v>2149</v>
      </c>
    </row>
    <row r="1720" spans="6:6" x14ac:dyDescent="0.15">
      <c r="F1720" t="s">
        <v>2150</v>
      </c>
    </row>
    <row r="1721" spans="6:6" x14ac:dyDescent="0.15">
      <c r="F1721" t="s">
        <v>2151</v>
      </c>
    </row>
    <row r="1722" spans="6:6" x14ac:dyDescent="0.15">
      <c r="F1722" t="s">
        <v>2152</v>
      </c>
    </row>
    <row r="1723" spans="6:6" x14ac:dyDescent="0.15">
      <c r="F1723" t="s">
        <v>2153</v>
      </c>
    </row>
    <row r="1724" spans="6:6" x14ac:dyDescent="0.15">
      <c r="F1724" t="s">
        <v>2154</v>
      </c>
    </row>
    <row r="1725" spans="6:6" x14ac:dyDescent="0.15">
      <c r="F1725" t="s">
        <v>2155</v>
      </c>
    </row>
    <row r="1726" spans="6:6" x14ac:dyDescent="0.15">
      <c r="F1726" t="s">
        <v>2156</v>
      </c>
    </row>
    <row r="1727" spans="6:6" x14ac:dyDescent="0.15">
      <c r="F1727" t="s">
        <v>2157</v>
      </c>
    </row>
    <row r="1728" spans="6:6" x14ac:dyDescent="0.15">
      <c r="F1728" t="s">
        <v>2158</v>
      </c>
    </row>
    <row r="1729" spans="6:6" x14ac:dyDescent="0.15">
      <c r="F1729" t="s">
        <v>2159</v>
      </c>
    </row>
    <row r="1730" spans="6:6" x14ac:dyDescent="0.15">
      <c r="F1730" t="s">
        <v>2160</v>
      </c>
    </row>
    <row r="1731" spans="6:6" x14ac:dyDescent="0.15">
      <c r="F1731" t="s">
        <v>2161</v>
      </c>
    </row>
    <row r="1732" spans="6:6" x14ac:dyDescent="0.15">
      <c r="F1732" t="s">
        <v>2162</v>
      </c>
    </row>
    <row r="1733" spans="6:6" x14ac:dyDescent="0.15">
      <c r="F1733" t="s">
        <v>2163</v>
      </c>
    </row>
    <row r="1734" spans="6:6" x14ac:dyDescent="0.15">
      <c r="F1734" t="s">
        <v>2164</v>
      </c>
    </row>
    <row r="1735" spans="6:6" x14ac:dyDescent="0.15">
      <c r="F1735" t="s">
        <v>2165</v>
      </c>
    </row>
    <row r="1736" spans="6:6" x14ac:dyDescent="0.15">
      <c r="F1736" t="s">
        <v>2166</v>
      </c>
    </row>
    <row r="1737" spans="6:6" x14ac:dyDescent="0.15">
      <c r="F1737" t="s">
        <v>2167</v>
      </c>
    </row>
    <row r="1738" spans="6:6" x14ac:dyDescent="0.15">
      <c r="F1738" t="s">
        <v>2168</v>
      </c>
    </row>
    <row r="1739" spans="6:6" x14ac:dyDescent="0.15">
      <c r="F1739" t="s">
        <v>2169</v>
      </c>
    </row>
    <row r="1740" spans="6:6" x14ac:dyDescent="0.15">
      <c r="F1740" t="s">
        <v>2170</v>
      </c>
    </row>
    <row r="1741" spans="6:6" x14ac:dyDescent="0.15">
      <c r="F1741" t="s">
        <v>2171</v>
      </c>
    </row>
    <row r="1742" spans="6:6" x14ac:dyDescent="0.15">
      <c r="F1742" t="s">
        <v>2172</v>
      </c>
    </row>
    <row r="1743" spans="6:6" x14ac:dyDescent="0.15">
      <c r="F1743" t="s">
        <v>2173</v>
      </c>
    </row>
    <row r="1744" spans="6:6" x14ac:dyDescent="0.15">
      <c r="F1744" t="s">
        <v>2174</v>
      </c>
    </row>
    <row r="1745" spans="6:6" x14ac:dyDescent="0.15">
      <c r="F1745" t="s">
        <v>2175</v>
      </c>
    </row>
    <row r="1746" spans="6:6" x14ac:dyDescent="0.15">
      <c r="F1746" t="s">
        <v>2176</v>
      </c>
    </row>
    <row r="1747" spans="6:6" x14ac:dyDescent="0.15">
      <c r="F1747" t="s">
        <v>2177</v>
      </c>
    </row>
    <row r="1748" spans="6:6" x14ac:dyDescent="0.15">
      <c r="F1748" t="s">
        <v>2178</v>
      </c>
    </row>
    <row r="1749" spans="6:6" x14ac:dyDescent="0.15">
      <c r="F1749" t="s">
        <v>2179</v>
      </c>
    </row>
    <row r="1750" spans="6:6" x14ac:dyDescent="0.15">
      <c r="F1750" t="s">
        <v>2180</v>
      </c>
    </row>
    <row r="1751" spans="6:6" x14ac:dyDescent="0.15">
      <c r="F1751" t="s">
        <v>2181</v>
      </c>
    </row>
    <row r="1752" spans="6:6" x14ac:dyDescent="0.15">
      <c r="F1752" t="s">
        <v>2182</v>
      </c>
    </row>
    <row r="1753" spans="6:6" x14ac:dyDescent="0.15">
      <c r="F1753" t="s">
        <v>2183</v>
      </c>
    </row>
    <row r="1754" spans="6:6" x14ac:dyDescent="0.15">
      <c r="F1754" t="s">
        <v>2184</v>
      </c>
    </row>
    <row r="1755" spans="6:6" x14ac:dyDescent="0.15">
      <c r="F1755" t="s">
        <v>2185</v>
      </c>
    </row>
    <row r="1756" spans="6:6" x14ac:dyDescent="0.15">
      <c r="F1756" t="s">
        <v>2186</v>
      </c>
    </row>
    <row r="1757" spans="6:6" x14ac:dyDescent="0.15">
      <c r="F1757" t="s">
        <v>2187</v>
      </c>
    </row>
    <row r="1758" spans="6:6" x14ac:dyDescent="0.15">
      <c r="F1758" t="s">
        <v>2188</v>
      </c>
    </row>
    <row r="1759" spans="6:6" x14ac:dyDescent="0.15">
      <c r="F1759" t="s">
        <v>2189</v>
      </c>
    </row>
    <row r="1760" spans="6:6" x14ac:dyDescent="0.15">
      <c r="F1760" t="s">
        <v>2190</v>
      </c>
    </row>
    <row r="1761" spans="6:6" x14ac:dyDescent="0.15">
      <c r="F1761" t="s">
        <v>2191</v>
      </c>
    </row>
    <row r="1762" spans="6:6" x14ac:dyDescent="0.15">
      <c r="F1762" t="s">
        <v>2192</v>
      </c>
    </row>
    <row r="1763" spans="6:6" x14ac:dyDescent="0.15">
      <c r="F1763" t="s">
        <v>2193</v>
      </c>
    </row>
    <row r="1764" spans="6:6" x14ac:dyDescent="0.15">
      <c r="F1764" t="s">
        <v>2194</v>
      </c>
    </row>
    <row r="1765" spans="6:6" x14ac:dyDescent="0.15">
      <c r="F1765" t="s">
        <v>2195</v>
      </c>
    </row>
    <row r="1766" spans="6:6" x14ac:dyDescent="0.15">
      <c r="F1766" t="s">
        <v>2196</v>
      </c>
    </row>
    <row r="1767" spans="6:6" x14ac:dyDescent="0.15">
      <c r="F1767" t="s">
        <v>2197</v>
      </c>
    </row>
    <row r="1768" spans="6:6" x14ac:dyDescent="0.15">
      <c r="F1768" t="s">
        <v>2198</v>
      </c>
    </row>
    <row r="1769" spans="6:6" x14ac:dyDescent="0.15">
      <c r="F1769" t="s">
        <v>2199</v>
      </c>
    </row>
    <row r="1770" spans="6:6" x14ac:dyDescent="0.15">
      <c r="F1770" t="s">
        <v>2200</v>
      </c>
    </row>
    <row r="1771" spans="6:6" x14ac:dyDescent="0.15">
      <c r="F1771" t="s">
        <v>2201</v>
      </c>
    </row>
    <row r="1772" spans="6:6" x14ac:dyDescent="0.15">
      <c r="F1772" t="s">
        <v>2202</v>
      </c>
    </row>
    <row r="1773" spans="6:6" x14ac:dyDescent="0.15">
      <c r="F1773" t="s">
        <v>2203</v>
      </c>
    </row>
    <row r="1774" spans="6:6" x14ac:dyDescent="0.15">
      <c r="F1774" t="s">
        <v>2204</v>
      </c>
    </row>
    <row r="1775" spans="6:6" x14ac:dyDescent="0.15">
      <c r="F1775" t="s">
        <v>2205</v>
      </c>
    </row>
    <row r="1776" spans="6:6" x14ac:dyDescent="0.15">
      <c r="F1776" t="s">
        <v>2206</v>
      </c>
    </row>
    <row r="1777" spans="6:6" x14ac:dyDescent="0.15">
      <c r="F1777" t="s">
        <v>2207</v>
      </c>
    </row>
    <row r="1778" spans="6:6" x14ac:dyDescent="0.15">
      <c r="F1778" t="s">
        <v>2208</v>
      </c>
    </row>
    <row r="1779" spans="6:6" x14ac:dyDescent="0.15">
      <c r="F1779" t="s">
        <v>2209</v>
      </c>
    </row>
    <row r="1780" spans="6:6" x14ac:dyDescent="0.15">
      <c r="F1780" t="s">
        <v>2210</v>
      </c>
    </row>
    <row r="1781" spans="6:6" x14ac:dyDescent="0.15">
      <c r="F1781" t="s">
        <v>2211</v>
      </c>
    </row>
    <row r="1782" spans="6:6" x14ac:dyDescent="0.15">
      <c r="F1782" t="s">
        <v>2212</v>
      </c>
    </row>
    <row r="1783" spans="6:6" x14ac:dyDescent="0.15">
      <c r="F1783" t="s">
        <v>2213</v>
      </c>
    </row>
    <row r="1784" spans="6:6" x14ac:dyDescent="0.15">
      <c r="F1784" t="s">
        <v>2214</v>
      </c>
    </row>
    <row r="1785" spans="6:6" x14ac:dyDescent="0.15">
      <c r="F1785" t="s">
        <v>2215</v>
      </c>
    </row>
    <row r="1786" spans="6:6" x14ac:dyDescent="0.15">
      <c r="F1786" t="s">
        <v>2216</v>
      </c>
    </row>
    <row r="1787" spans="6:6" x14ac:dyDescent="0.15">
      <c r="F1787" t="s">
        <v>2217</v>
      </c>
    </row>
    <row r="1788" spans="6:6" x14ac:dyDescent="0.15">
      <c r="F1788" t="s">
        <v>2218</v>
      </c>
    </row>
    <row r="1789" spans="6:6" x14ac:dyDescent="0.15">
      <c r="F1789" t="s">
        <v>2219</v>
      </c>
    </row>
    <row r="1790" spans="6:6" x14ac:dyDescent="0.15">
      <c r="F1790" t="s">
        <v>2220</v>
      </c>
    </row>
    <row r="1791" spans="6:6" x14ac:dyDescent="0.15">
      <c r="F1791" t="s">
        <v>2221</v>
      </c>
    </row>
    <row r="1792" spans="6:6" x14ac:dyDescent="0.15">
      <c r="F1792" t="s">
        <v>21</v>
      </c>
    </row>
    <row r="1793" spans="6:6" x14ac:dyDescent="0.15">
      <c r="F1793" t="s">
        <v>2222</v>
      </c>
    </row>
    <row r="1794" spans="6:6" x14ac:dyDescent="0.15">
      <c r="F1794" t="s">
        <v>2223</v>
      </c>
    </row>
    <row r="1795" spans="6:6" x14ac:dyDescent="0.15">
      <c r="F1795" t="s">
        <v>2224</v>
      </c>
    </row>
    <row r="1796" spans="6:6" x14ac:dyDescent="0.15">
      <c r="F1796" t="s">
        <v>2225</v>
      </c>
    </row>
    <row r="1797" spans="6:6" x14ac:dyDescent="0.15">
      <c r="F1797" t="s">
        <v>2226</v>
      </c>
    </row>
    <row r="1798" spans="6:6" x14ac:dyDescent="0.15">
      <c r="F1798" t="s">
        <v>2227</v>
      </c>
    </row>
    <row r="1799" spans="6:6" x14ac:dyDescent="0.15">
      <c r="F1799" t="s">
        <v>2228</v>
      </c>
    </row>
    <row r="1800" spans="6:6" x14ac:dyDescent="0.15">
      <c r="F1800" t="s">
        <v>2229</v>
      </c>
    </row>
    <row r="1801" spans="6:6" x14ac:dyDescent="0.15">
      <c r="F1801" t="s">
        <v>2230</v>
      </c>
    </row>
    <row r="1802" spans="6:6" x14ac:dyDescent="0.15">
      <c r="F1802" t="s">
        <v>2231</v>
      </c>
    </row>
    <row r="1803" spans="6:6" x14ac:dyDescent="0.15">
      <c r="F1803" t="s">
        <v>2232</v>
      </c>
    </row>
    <row r="1804" spans="6:6" x14ac:dyDescent="0.15">
      <c r="F1804" t="s">
        <v>2233</v>
      </c>
    </row>
    <row r="1805" spans="6:6" x14ac:dyDescent="0.15">
      <c r="F1805" t="s">
        <v>2234</v>
      </c>
    </row>
    <row r="1806" spans="6:6" x14ac:dyDescent="0.15">
      <c r="F1806" t="s">
        <v>2235</v>
      </c>
    </row>
    <row r="1807" spans="6:6" x14ac:dyDescent="0.15">
      <c r="F1807" t="s">
        <v>2236</v>
      </c>
    </row>
    <row r="1808" spans="6:6" x14ac:dyDescent="0.15">
      <c r="F1808" t="s">
        <v>2237</v>
      </c>
    </row>
    <row r="1809" spans="6:6" x14ac:dyDescent="0.15">
      <c r="F1809" t="s">
        <v>2238</v>
      </c>
    </row>
    <row r="1810" spans="6:6" x14ac:dyDescent="0.15">
      <c r="F1810" t="s">
        <v>2239</v>
      </c>
    </row>
    <row r="1811" spans="6:6" x14ac:dyDescent="0.15">
      <c r="F1811" t="s">
        <v>2240</v>
      </c>
    </row>
    <row r="1812" spans="6:6" x14ac:dyDescent="0.15">
      <c r="F1812" t="s">
        <v>2241</v>
      </c>
    </row>
    <row r="1813" spans="6:6" x14ac:dyDescent="0.15">
      <c r="F1813" t="s">
        <v>2242</v>
      </c>
    </row>
    <row r="1814" spans="6:6" x14ac:dyDescent="0.15">
      <c r="F1814" t="s">
        <v>2243</v>
      </c>
    </row>
    <row r="1815" spans="6:6" x14ac:dyDescent="0.15">
      <c r="F1815" t="s">
        <v>2244</v>
      </c>
    </row>
    <row r="1816" spans="6:6" x14ac:dyDescent="0.15">
      <c r="F1816" t="s">
        <v>2245</v>
      </c>
    </row>
    <row r="1817" spans="6:6" x14ac:dyDescent="0.15">
      <c r="F1817" t="s">
        <v>2246</v>
      </c>
    </row>
    <row r="1818" spans="6:6" x14ac:dyDescent="0.15">
      <c r="F1818" t="s">
        <v>2247</v>
      </c>
    </row>
    <row r="1819" spans="6:6" x14ac:dyDescent="0.15">
      <c r="F1819" t="s">
        <v>2248</v>
      </c>
    </row>
    <row r="1820" spans="6:6" x14ac:dyDescent="0.15">
      <c r="F1820" t="s">
        <v>2249</v>
      </c>
    </row>
    <row r="1821" spans="6:6" x14ac:dyDescent="0.15">
      <c r="F1821" t="s">
        <v>2250</v>
      </c>
    </row>
    <row r="1822" spans="6:6" x14ac:dyDescent="0.15">
      <c r="F1822" t="s">
        <v>2251</v>
      </c>
    </row>
    <row r="1823" spans="6:6" x14ac:dyDescent="0.15">
      <c r="F1823" t="s">
        <v>2252</v>
      </c>
    </row>
    <row r="1824" spans="6:6" x14ac:dyDescent="0.15">
      <c r="F1824" t="s">
        <v>2253</v>
      </c>
    </row>
    <row r="1825" spans="6:6" x14ac:dyDescent="0.15">
      <c r="F1825" t="s">
        <v>2254</v>
      </c>
    </row>
    <row r="1826" spans="6:6" x14ac:dyDescent="0.15">
      <c r="F1826" t="s">
        <v>2255</v>
      </c>
    </row>
    <row r="1827" spans="6:6" x14ac:dyDescent="0.15">
      <c r="F1827" t="s">
        <v>2256</v>
      </c>
    </row>
    <row r="1828" spans="6:6" x14ac:dyDescent="0.15">
      <c r="F1828" t="s">
        <v>2257</v>
      </c>
    </row>
    <row r="1829" spans="6:6" x14ac:dyDescent="0.15">
      <c r="F1829" t="s">
        <v>2258</v>
      </c>
    </row>
    <row r="1830" spans="6:6" x14ac:dyDescent="0.15">
      <c r="F1830" t="s">
        <v>2259</v>
      </c>
    </row>
    <row r="1831" spans="6:6" x14ac:dyDescent="0.15">
      <c r="F1831" t="s">
        <v>2260</v>
      </c>
    </row>
    <row r="1832" spans="6:6" x14ac:dyDescent="0.15">
      <c r="F1832" t="s">
        <v>2261</v>
      </c>
    </row>
    <row r="1833" spans="6:6" x14ac:dyDescent="0.15">
      <c r="F1833" t="s">
        <v>2262</v>
      </c>
    </row>
    <row r="1834" spans="6:6" x14ac:dyDescent="0.15">
      <c r="F1834" t="s">
        <v>2263</v>
      </c>
    </row>
    <row r="1835" spans="6:6" x14ac:dyDescent="0.15">
      <c r="F1835" t="s">
        <v>2264</v>
      </c>
    </row>
    <row r="1836" spans="6:6" x14ac:dyDescent="0.15">
      <c r="F1836" t="s">
        <v>2265</v>
      </c>
    </row>
    <row r="1837" spans="6:6" x14ac:dyDescent="0.15">
      <c r="F1837" t="s">
        <v>2266</v>
      </c>
    </row>
    <row r="1838" spans="6:6" x14ac:dyDescent="0.15">
      <c r="F1838" t="s">
        <v>2267</v>
      </c>
    </row>
    <row r="1839" spans="6:6" x14ac:dyDescent="0.15">
      <c r="F1839" t="s">
        <v>2268</v>
      </c>
    </row>
    <row r="1840" spans="6:6" x14ac:dyDescent="0.15">
      <c r="F1840" t="s">
        <v>2269</v>
      </c>
    </row>
    <row r="1841" spans="6:6" x14ac:dyDescent="0.15">
      <c r="F1841" t="s">
        <v>2270</v>
      </c>
    </row>
    <row r="1842" spans="6:6" x14ac:dyDescent="0.15">
      <c r="F1842" t="s">
        <v>2271</v>
      </c>
    </row>
    <row r="1843" spans="6:6" x14ac:dyDescent="0.15">
      <c r="F1843" t="s">
        <v>2272</v>
      </c>
    </row>
    <row r="1844" spans="6:6" x14ac:dyDescent="0.15">
      <c r="F1844" t="s">
        <v>2273</v>
      </c>
    </row>
    <row r="1845" spans="6:6" x14ac:dyDescent="0.15">
      <c r="F1845" t="s">
        <v>2274</v>
      </c>
    </row>
    <row r="1846" spans="6:6" x14ac:dyDescent="0.15">
      <c r="F1846" t="s">
        <v>2275</v>
      </c>
    </row>
    <row r="1847" spans="6:6" x14ac:dyDescent="0.15">
      <c r="F1847" t="s">
        <v>2276</v>
      </c>
    </row>
    <row r="1848" spans="6:6" x14ac:dyDescent="0.15">
      <c r="F1848" t="s">
        <v>2277</v>
      </c>
    </row>
    <row r="1849" spans="6:6" x14ac:dyDescent="0.15">
      <c r="F1849" t="s">
        <v>2278</v>
      </c>
    </row>
    <row r="1850" spans="6:6" x14ac:dyDescent="0.15">
      <c r="F1850" t="s">
        <v>2279</v>
      </c>
    </row>
    <row r="1851" spans="6:6" x14ac:dyDescent="0.15">
      <c r="F1851" t="s">
        <v>2280</v>
      </c>
    </row>
    <row r="1852" spans="6:6" x14ac:dyDescent="0.15">
      <c r="F1852" t="s">
        <v>2281</v>
      </c>
    </row>
    <row r="1853" spans="6:6" x14ac:dyDescent="0.15">
      <c r="F1853" t="s">
        <v>2282</v>
      </c>
    </row>
    <row r="1854" spans="6:6" x14ac:dyDescent="0.15">
      <c r="F1854" t="s">
        <v>2283</v>
      </c>
    </row>
    <row r="1855" spans="6:6" x14ac:dyDescent="0.15">
      <c r="F1855" t="s">
        <v>2284</v>
      </c>
    </row>
    <row r="1856" spans="6:6" x14ac:dyDescent="0.15">
      <c r="F1856" t="s">
        <v>2285</v>
      </c>
    </row>
    <row r="1857" spans="6:6" x14ac:dyDescent="0.15">
      <c r="F1857" t="s">
        <v>2286</v>
      </c>
    </row>
    <row r="1858" spans="6:6" x14ac:dyDescent="0.15">
      <c r="F1858" t="s">
        <v>2287</v>
      </c>
    </row>
    <row r="1859" spans="6:6" x14ac:dyDescent="0.15">
      <c r="F1859" t="s">
        <v>2288</v>
      </c>
    </row>
    <row r="1860" spans="6:6" x14ac:dyDescent="0.15">
      <c r="F1860" t="s">
        <v>2289</v>
      </c>
    </row>
    <row r="1861" spans="6:6" x14ac:dyDescent="0.15">
      <c r="F1861" t="s">
        <v>2290</v>
      </c>
    </row>
    <row r="1862" spans="6:6" x14ac:dyDescent="0.15">
      <c r="F1862" t="s">
        <v>2291</v>
      </c>
    </row>
    <row r="1863" spans="6:6" x14ac:dyDescent="0.15">
      <c r="F1863" t="s">
        <v>2292</v>
      </c>
    </row>
    <row r="1864" spans="6:6" x14ac:dyDescent="0.15">
      <c r="F1864" t="s">
        <v>2293</v>
      </c>
    </row>
    <row r="1865" spans="6:6" x14ac:dyDescent="0.15">
      <c r="F1865" t="s">
        <v>2294</v>
      </c>
    </row>
    <row r="1866" spans="6:6" x14ac:dyDescent="0.15">
      <c r="F1866" t="s">
        <v>2295</v>
      </c>
    </row>
    <row r="1867" spans="6:6" x14ac:dyDescent="0.15">
      <c r="F1867" t="s">
        <v>2296</v>
      </c>
    </row>
    <row r="1868" spans="6:6" x14ac:dyDescent="0.15">
      <c r="F1868" t="s">
        <v>2297</v>
      </c>
    </row>
    <row r="1869" spans="6:6" x14ac:dyDescent="0.15">
      <c r="F1869" t="s">
        <v>2298</v>
      </c>
    </row>
    <row r="1870" spans="6:6" x14ac:dyDescent="0.15">
      <c r="F1870" t="s">
        <v>2299</v>
      </c>
    </row>
    <row r="1871" spans="6:6" x14ac:dyDescent="0.15">
      <c r="F1871" t="s">
        <v>2300</v>
      </c>
    </row>
    <row r="1872" spans="6:6" x14ac:dyDescent="0.15">
      <c r="F1872" t="s">
        <v>2301</v>
      </c>
    </row>
    <row r="1873" spans="6:6" x14ac:dyDescent="0.15">
      <c r="F1873" t="s">
        <v>2302</v>
      </c>
    </row>
    <row r="1874" spans="6:6" x14ac:dyDescent="0.15">
      <c r="F1874" t="s">
        <v>2303</v>
      </c>
    </row>
    <row r="1875" spans="6:6" x14ac:dyDescent="0.15">
      <c r="F1875" t="s">
        <v>2304</v>
      </c>
    </row>
    <row r="1876" spans="6:6" x14ac:dyDescent="0.15">
      <c r="F1876" t="s">
        <v>2305</v>
      </c>
    </row>
    <row r="1877" spans="6:6" x14ac:dyDescent="0.15">
      <c r="F1877" t="s">
        <v>2306</v>
      </c>
    </row>
    <row r="1878" spans="6:6" x14ac:dyDescent="0.15">
      <c r="F1878" t="s">
        <v>2307</v>
      </c>
    </row>
    <row r="1879" spans="6:6" x14ac:dyDescent="0.15">
      <c r="F1879" t="s">
        <v>2308</v>
      </c>
    </row>
    <row r="1880" spans="6:6" x14ac:dyDescent="0.15">
      <c r="F1880" t="s">
        <v>2309</v>
      </c>
    </row>
    <row r="1881" spans="6:6" x14ac:dyDescent="0.15">
      <c r="F1881" t="s">
        <v>2310</v>
      </c>
    </row>
    <row r="1882" spans="6:6" x14ac:dyDescent="0.15">
      <c r="F1882" t="s">
        <v>2311</v>
      </c>
    </row>
    <row r="1883" spans="6:6" x14ac:dyDescent="0.15">
      <c r="F1883" t="s">
        <v>2312</v>
      </c>
    </row>
    <row r="1884" spans="6:6" x14ac:dyDescent="0.15">
      <c r="F1884" t="s">
        <v>2313</v>
      </c>
    </row>
    <row r="1885" spans="6:6" x14ac:dyDescent="0.15">
      <c r="F1885" t="s">
        <v>2314</v>
      </c>
    </row>
    <row r="1886" spans="6:6" x14ac:dyDescent="0.15">
      <c r="F1886" t="s">
        <v>221</v>
      </c>
    </row>
    <row r="1887" spans="6:6" x14ac:dyDescent="0.15">
      <c r="F1887" t="s">
        <v>2315</v>
      </c>
    </row>
    <row r="1888" spans="6:6" x14ac:dyDescent="0.15">
      <c r="F1888" t="s">
        <v>2316</v>
      </c>
    </row>
    <row r="1889" spans="6:6" x14ac:dyDescent="0.15">
      <c r="F1889" t="s">
        <v>2317</v>
      </c>
    </row>
    <row r="1890" spans="6:6" x14ac:dyDescent="0.15">
      <c r="F1890" t="s">
        <v>2318</v>
      </c>
    </row>
    <row r="1891" spans="6:6" x14ac:dyDescent="0.15">
      <c r="F1891" t="s">
        <v>2319</v>
      </c>
    </row>
    <row r="1892" spans="6:6" x14ac:dyDescent="0.15">
      <c r="F1892" t="s">
        <v>2320</v>
      </c>
    </row>
    <row r="1893" spans="6:6" x14ac:dyDescent="0.15">
      <c r="F1893" t="s">
        <v>2321</v>
      </c>
    </row>
    <row r="1894" spans="6:6" x14ac:dyDescent="0.15">
      <c r="F1894" t="s">
        <v>2322</v>
      </c>
    </row>
    <row r="1895" spans="6:6" x14ac:dyDescent="0.15">
      <c r="F1895" t="s">
        <v>2323</v>
      </c>
    </row>
    <row r="1896" spans="6:6" x14ac:dyDescent="0.15">
      <c r="F1896" t="s">
        <v>2324</v>
      </c>
    </row>
    <row r="1897" spans="6:6" x14ac:dyDescent="0.15">
      <c r="F1897" t="s">
        <v>2325</v>
      </c>
    </row>
    <row r="1898" spans="6:6" x14ac:dyDescent="0.15">
      <c r="F1898" t="s">
        <v>2326</v>
      </c>
    </row>
    <row r="1899" spans="6:6" x14ac:dyDescent="0.15">
      <c r="F1899" t="s">
        <v>2327</v>
      </c>
    </row>
    <row r="1900" spans="6:6" x14ac:dyDescent="0.15">
      <c r="F1900" t="s">
        <v>2328</v>
      </c>
    </row>
    <row r="1901" spans="6:6" x14ac:dyDescent="0.15">
      <c r="F1901" t="s">
        <v>2329</v>
      </c>
    </row>
    <row r="1902" spans="6:6" x14ac:dyDescent="0.15">
      <c r="F1902" t="s">
        <v>2330</v>
      </c>
    </row>
    <row r="1903" spans="6:6" x14ac:dyDescent="0.15">
      <c r="F1903" t="s">
        <v>2331</v>
      </c>
    </row>
    <row r="1904" spans="6:6" x14ac:dyDescent="0.15">
      <c r="F1904" t="s">
        <v>2332</v>
      </c>
    </row>
    <row r="1905" spans="6:6" x14ac:dyDescent="0.15">
      <c r="F1905" t="s">
        <v>2333</v>
      </c>
    </row>
    <row r="1906" spans="6:6" x14ac:dyDescent="0.15">
      <c r="F1906" t="s">
        <v>2334</v>
      </c>
    </row>
    <row r="1907" spans="6:6" x14ac:dyDescent="0.15">
      <c r="F1907" t="s">
        <v>2335</v>
      </c>
    </row>
    <row r="1908" spans="6:6" x14ac:dyDescent="0.15">
      <c r="F1908" t="s">
        <v>2336</v>
      </c>
    </row>
    <row r="1909" spans="6:6" x14ac:dyDescent="0.15">
      <c r="F1909" t="s">
        <v>2337</v>
      </c>
    </row>
    <row r="1910" spans="6:6" x14ac:dyDescent="0.15">
      <c r="F1910" t="s">
        <v>2338</v>
      </c>
    </row>
    <row r="1911" spans="6:6" x14ac:dyDescent="0.15">
      <c r="F1911" t="s">
        <v>2339</v>
      </c>
    </row>
    <row r="1912" spans="6:6" x14ac:dyDescent="0.15">
      <c r="F1912" t="s">
        <v>2340</v>
      </c>
    </row>
    <row r="1913" spans="6:6" x14ac:dyDescent="0.15">
      <c r="F1913" t="s">
        <v>2341</v>
      </c>
    </row>
    <row r="1914" spans="6:6" x14ac:dyDescent="0.15">
      <c r="F1914" t="s">
        <v>2342</v>
      </c>
    </row>
    <row r="1915" spans="6:6" x14ac:dyDescent="0.15">
      <c r="F1915" t="s">
        <v>2343</v>
      </c>
    </row>
    <row r="1916" spans="6:6" x14ac:dyDescent="0.15">
      <c r="F1916" t="s">
        <v>2344</v>
      </c>
    </row>
    <row r="1917" spans="6:6" x14ac:dyDescent="0.15">
      <c r="F1917" t="s">
        <v>2345</v>
      </c>
    </row>
    <row r="1918" spans="6:6" x14ac:dyDescent="0.15">
      <c r="F1918" t="s">
        <v>2346</v>
      </c>
    </row>
    <row r="1919" spans="6:6" x14ac:dyDescent="0.15">
      <c r="F1919" t="s">
        <v>2347</v>
      </c>
    </row>
    <row r="1920" spans="6:6" x14ac:dyDescent="0.15">
      <c r="F1920" t="s">
        <v>2348</v>
      </c>
    </row>
    <row r="1921" spans="6:6" x14ac:dyDescent="0.15">
      <c r="F1921" t="s">
        <v>2349</v>
      </c>
    </row>
    <row r="1922" spans="6:6" x14ac:dyDescent="0.15">
      <c r="F1922" t="s">
        <v>2350</v>
      </c>
    </row>
    <row r="1923" spans="6:6" x14ac:dyDescent="0.15">
      <c r="F1923" t="s">
        <v>2351</v>
      </c>
    </row>
    <row r="1924" spans="6:6" x14ac:dyDescent="0.15">
      <c r="F1924" t="s">
        <v>2352</v>
      </c>
    </row>
    <row r="1925" spans="6:6" x14ac:dyDescent="0.15">
      <c r="F1925" t="s">
        <v>2353</v>
      </c>
    </row>
    <row r="1926" spans="6:6" x14ac:dyDescent="0.15">
      <c r="F1926" t="s">
        <v>2354</v>
      </c>
    </row>
    <row r="1927" spans="6:6" x14ac:dyDescent="0.15">
      <c r="F1927" t="s">
        <v>2355</v>
      </c>
    </row>
    <row r="1928" spans="6:6" x14ac:dyDescent="0.15">
      <c r="F1928" t="s">
        <v>2356</v>
      </c>
    </row>
    <row r="1929" spans="6:6" x14ac:dyDescent="0.15">
      <c r="F1929" t="s">
        <v>2357</v>
      </c>
    </row>
    <row r="1930" spans="6:6" x14ac:dyDescent="0.15">
      <c r="F1930" t="s">
        <v>2358</v>
      </c>
    </row>
    <row r="1931" spans="6:6" x14ac:dyDescent="0.15">
      <c r="F1931" t="s">
        <v>2359</v>
      </c>
    </row>
    <row r="1932" spans="6:6" x14ac:dyDescent="0.15">
      <c r="F1932" t="s">
        <v>2360</v>
      </c>
    </row>
    <row r="1933" spans="6:6" x14ac:dyDescent="0.15">
      <c r="F1933" t="s">
        <v>152</v>
      </c>
    </row>
    <row r="1934" spans="6:6" x14ac:dyDescent="0.15">
      <c r="F1934" t="s">
        <v>2361</v>
      </c>
    </row>
    <row r="1935" spans="6:6" x14ac:dyDescent="0.15">
      <c r="F1935" t="s">
        <v>2362</v>
      </c>
    </row>
    <row r="1936" spans="6:6" x14ac:dyDescent="0.15">
      <c r="F1936" t="s">
        <v>2363</v>
      </c>
    </row>
    <row r="1937" spans="6:6" x14ac:dyDescent="0.15">
      <c r="F1937" t="s">
        <v>2364</v>
      </c>
    </row>
    <row r="1938" spans="6:6" x14ac:dyDescent="0.15">
      <c r="F1938" t="s">
        <v>2365</v>
      </c>
    </row>
    <row r="1939" spans="6:6" x14ac:dyDescent="0.15">
      <c r="F1939" t="s">
        <v>2366</v>
      </c>
    </row>
    <row r="1940" spans="6:6" x14ac:dyDescent="0.15">
      <c r="F1940" t="s">
        <v>11</v>
      </c>
    </row>
    <row r="1941" spans="6:6" x14ac:dyDescent="0.15">
      <c r="F1941" t="s">
        <v>2367</v>
      </c>
    </row>
    <row r="1942" spans="6:6" x14ac:dyDescent="0.15">
      <c r="F1942" t="s">
        <v>2368</v>
      </c>
    </row>
    <row r="1943" spans="6:6" x14ac:dyDescent="0.15">
      <c r="F1943" t="s">
        <v>2369</v>
      </c>
    </row>
    <row r="1944" spans="6:6" x14ac:dyDescent="0.15">
      <c r="F1944" t="s">
        <v>2370</v>
      </c>
    </row>
    <row r="1945" spans="6:6" x14ac:dyDescent="0.15">
      <c r="F1945" t="s">
        <v>2371</v>
      </c>
    </row>
    <row r="1946" spans="6:6" x14ac:dyDescent="0.15">
      <c r="F1946" t="s">
        <v>2372</v>
      </c>
    </row>
    <row r="1947" spans="6:6" x14ac:dyDescent="0.15">
      <c r="F1947" t="s">
        <v>2373</v>
      </c>
    </row>
    <row r="1948" spans="6:6" x14ac:dyDescent="0.15">
      <c r="F1948" t="s">
        <v>2374</v>
      </c>
    </row>
    <row r="1949" spans="6:6" x14ac:dyDescent="0.15">
      <c r="F1949" t="s">
        <v>2375</v>
      </c>
    </row>
    <row r="1950" spans="6:6" x14ac:dyDescent="0.15">
      <c r="F1950" t="s">
        <v>2376</v>
      </c>
    </row>
    <row r="1951" spans="6:6" x14ac:dyDescent="0.15">
      <c r="F1951" t="s">
        <v>2377</v>
      </c>
    </row>
    <row r="1952" spans="6:6" x14ac:dyDescent="0.15">
      <c r="F1952" t="s">
        <v>2378</v>
      </c>
    </row>
    <row r="1953" spans="6:6" x14ac:dyDescent="0.15">
      <c r="F1953" t="s">
        <v>2379</v>
      </c>
    </row>
    <row r="1954" spans="6:6" x14ac:dyDescent="0.15">
      <c r="F1954" t="s">
        <v>2380</v>
      </c>
    </row>
    <row r="1955" spans="6:6" x14ac:dyDescent="0.15">
      <c r="F1955" t="s">
        <v>2381</v>
      </c>
    </row>
    <row r="1956" spans="6:6" x14ac:dyDescent="0.15">
      <c r="F1956" t="s">
        <v>2382</v>
      </c>
    </row>
    <row r="1957" spans="6:6" x14ac:dyDescent="0.15">
      <c r="F1957" t="s">
        <v>2383</v>
      </c>
    </row>
    <row r="1958" spans="6:6" x14ac:dyDescent="0.15">
      <c r="F1958" t="s">
        <v>2384</v>
      </c>
    </row>
    <row r="1959" spans="6:6" x14ac:dyDescent="0.15">
      <c r="F1959" t="s">
        <v>2385</v>
      </c>
    </row>
    <row r="1960" spans="6:6" x14ac:dyDescent="0.15">
      <c r="F1960" t="s">
        <v>2386</v>
      </c>
    </row>
    <row r="1961" spans="6:6" x14ac:dyDescent="0.15">
      <c r="F1961" t="s">
        <v>2387</v>
      </c>
    </row>
    <row r="1962" spans="6:6" x14ac:dyDescent="0.15">
      <c r="F1962" t="s">
        <v>2388</v>
      </c>
    </row>
    <row r="1963" spans="6:6" x14ac:dyDescent="0.15">
      <c r="F1963" t="s">
        <v>2389</v>
      </c>
    </row>
    <row r="1964" spans="6:6" x14ac:dyDescent="0.15">
      <c r="F1964" t="s">
        <v>2390</v>
      </c>
    </row>
    <row r="1965" spans="6:6" x14ac:dyDescent="0.15">
      <c r="F1965" t="s">
        <v>2391</v>
      </c>
    </row>
    <row r="1966" spans="6:6" x14ac:dyDescent="0.15">
      <c r="F1966" t="s">
        <v>2392</v>
      </c>
    </row>
    <row r="1967" spans="6:6" x14ac:dyDescent="0.15">
      <c r="F1967" t="s">
        <v>2393</v>
      </c>
    </row>
    <row r="1968" spans="6:6" x14ac:dyDescent="0.15">
      <c r="F1968" t="s">
        <v>2394</v>
      </c>
    </row>
    <row r="1969" spans="6:6" x14ac:dyDescent="0.15">
      <c r="F1969" t="s">
        <v>2395</v>
      </c>
    </row>
    <row r="1970" spans="6:6" x14ac:dyDescent="0.15">
      <c r="F1970" t="s">
        <v>2396</v>
      </c>
    </row>
    <row r="1971" spans="6:6" x14ac:dyDescent="0.15">
      <c r="F1971" t="s">
        <v>2397</v>
      </c>
    </row>
    <row r="1972" spans="6:6" x14ac:dyDescent="0.15">
      <c r="F1972" t="s">
        <v>2398</v>
      </c>
    </row>
    <row r="1973" spans="6:6" x14ac:dyDescent="0.15">
      <c r="F1973" t="s">
        <v>2399</v>
      </c>
    </row>
    <row r="1974" spans="6:6" x14ac:dyDescent="0.15">
      <c r="F1974" t="s">
        <v>2400</v>
      </c>
    </row>
    <row r="1975" spans="6:6" x14ac:dyDescent="0.15">
      <c r="F1975" t="s">
        <v>2401</v>
      </c>
    </row>
    <row r="1976" spans="6:6" x14ac:dyDescent="0.15">
      <c r="F1976" t="s">
        <v>2402</v>
      </c>
    </row>
    <row r="1977" spans="6:6" x14ac:dyDescent="0.15">
      <c r="F1977" t="s">
        <v>2403</v>
      </c>
    </row>
    <row r="1978" spans="6:6" x14ac:dyDescent="0.15">
      <c r="F1978" t="s">
        <v>2404</v>
      </c>
    </row>
    <row r="1979" spans="6:6" x14ac:dyDescent="0.15">
      <c r="F1979" t="s">
        <v>2405</v>
      </c>
    </row>
    <row r="1980" spans="6:6" x14ac:dyDescent="0.15">
      <c r="F1980" t="s">
        <v>1030</v>
      </c>
    </row>
    <row r="1981" spans="6:6" x14ac:dyDescent="0.15">
      <c r="F1981" t="s">
        <v>2406</v>
      </c>
    </row>
    <row r="1982" spans="6:6" x14ac:dyDescent="0.15">
      <c r="F1982" t="s">
        <v>2407</v>
      </c>
    </row>
    <row r="1983" spans="6:6" x14ac:dyDescent="0.15">
      <c r="F1983" t="s">
        <v>2408</v>
      </c>
    </row>
    <row r="1984" spans="6:6" x14ac:dyDescent="0.15">
      <c r="F1984" t="s">
        <v>2409</v>
      </c>
    </row>
    <row r="1985" spans="6:6" x14ac:dyDescent="0.15">
      <c r="F1985" t="s">
        <v>2410</v>
      </c>
    </row>
    <row r="1986" spans="6:6" x14ac:dyDescent="0.15">
      <c r="F1986" t="s">
        <v>2411</v>
      </c>
    </row>
    <row r="1987" spans="6:6" x14ac:dyDescent="0.15">
      <c r="F1987" t="s">
        <v>2412</v>
      </c>
    </row>
    <row r="1988" spans="6:6" x14ac:dyDescent="0.15">
      <c r="F1988" t="s">
        <v>2413</v>
      </c>
    </row>
    <row r="1989" spans="6:6" x14ac:dyDescent="0.15">
      <c r="F1989" t="s">
        <v>2414</v>
      </c>
    </row>
    <row r="1990" spans="6:6" x14ac:dyDescent="0.15">
      <c r="F1990" t="s">
        <v>2415</v>
      </c>
    </row>
    <row r="1991" spans="6:6" x14ac:dyDescent="0.15">
      <c r="F1991" t="s">
        <v>2416</v>
      </c>
    </row>
    <row r="1992" spans="6:6" x14ac:dyDescent="0.15">
      <c r="F1992" t="s">
        <v>2417</v>
      </c>
    </row>
    <row r="1993" spans="6:6" x14ac:dyDescent="0.15">
      <c r="F1993" t="s">
        <v>2418</v>
      </c>
    </row>
    <row r="1994" spans="6:6" x14ac:dyDescent="0.15">
      <c r="F1994" t="s">
        <v>2419</v>
      </c>
    </row>
    <row r="1995" spans="6:6" x14ac:dyDescent="0.15">
      <c r="F1995" t="s">
        <v>2420</v>
      </c>
    </row>
    <row r="1996" spans="6:6" x14ac:dyDescent="0.15">
      <c r="F1996" t="s">
        <v>2421</v>
      </c>
    </row>
    <row r="1997" spans="6:6" x14ac:dyDescent="0.15">
      <c r="F1997" t="s">
        <v>2422</v>
      </c>
    </row>
    <row r="1998" spans="6:6" x14ac:dyDescent="0.15">
      <c r="F1998" t="s">
        <v>233</v>
      </c>
    </row>
    <row r="1999" spans="6:6" x14ac:dyDescent="0.15">
      <c r="F1999" t="s">
        <v>2423</v>
      </c>
    </row>
    <row r="2000" spans="6:6" x14ac:dyDescent="0.15">
      <c r="F2000" t="s">
        <v>2424</v>
      </c>
    </row>
    <row r="2001" spans="6:6" x14ac:dyDescent="0.15">
      <c r="F2001" t="s">
        <v>2425</v>
      </c>
    </row>
    <row r="2002" spans="6:6" x14ac:dyDescent="0.15">
      <c r="F2002" t="s">
        <v>2426</v>
      </c>
    </row>
    <row r="2003" spans="6:6" x14ac:dyDescent="0.15">
      <c r="F2003" t="s">
        <v>2427</v>
      </c>
    </row>
    <row r="2004" spans="6:6" x14ac:dyDescent="0.15">
      <c r="F2004" t="s">
        <v>2428</v>
      </c>
    </row>
    <row r="2005" spans="6:6" x14ac:dyDescent="0.15">
      <c r="F2005" t="s">
        <v>2429</v>
      </c>
    </row>
    <row r="2006" spans="6:6" x14ac:dyDescent="0.15">
      <c r="F2006" t="s">
        <v>2430</v>
      </c>
    </row>
    <row r="2007" spans="6:6" x14ac:dyDescent="0.15">
      <c r="F2007" t="s">
        <v>2431</v>
      </c>
    </row>
    <row r="2008" spans="6:6" x14ac:dyDescent="0.15">
      <c r="F2008" t="s">
        <v>2432</v>
      </c>
    </row>
    <row r="2009" spans="6:6" x14ac:dyDescent="0.15">
      <c r="F2009" t="s">
        <v>2433</v>
      </c>
    </row>
    <row r="2010" spans="6:6" x14ac:dyDescent="0.15">
      <c r="F2010" t="s">
        <v>2434</v>
      </c>
    </row>
    <row r="2011" spans="6:6" x14ac:dyDescent="0.15">
      <c r="F2011" t="s">
        <v>2435</v>
      </c>
    </row>
    <row r="2012" spans="6:6" x14ac:dyDescent="0.15">
      <c r="F2012" t="s">
        <v>2436</v>
      </c>
    </row>
    <row r="2013" spans="6:6" x14ac:dyDescent="0.15">
      <c r="F2013" t="s">
        <v>2437</v>
      </c>
    </row>
    <row r="2014" spans="6:6" x14ac:dyDescent="0.15">
      <c r="F2014" t="s">
        <v>2438</v>
      </c>
    </row>
    <row r="2015" spans="6:6" x14ac:dyDescent="0.15">
      <c r="F2015" t="s">
        <v>2439</v>
      </c>
    </row>
    <row r="2016" spans="6:6" x14ac:dyDescent="0.15">
      <c r="F2016" t="s">
        <v>2440</v>
      </c>
    </row>
    <row r="2017" spans="6:6" x14ac:dyDescent="0.15">
      <c r="F2017" t="s">
        <v>2441</v>
      </c>
    </row>
    <row r="2018" spans="6:6" x14ac:dyDescent="0.15">
      <c r="F2018" t="s">
        <v>2442</v>
      </c>
    </row>
    <row r="2019" spans="6:6" x14ac:dyDescent="0.15">
      <c r="F2019" t="s">
        <v>2443</v>
      </c>
    </row>
    <row r="2020" spans="6:6" x14ac:dyDescent="0.15">
      <c r="F2020" t="s">
        <v>2444</v>
      </c>
    </row>
    <row r="2021" spans="6:6" x14ac:dyDescent="0.15">
      <c r="F2021" t="s">
        <v>2445</v>
      </c>
    </row>
    <row r="2022" spans="6:6" x14ac:dyDescent="0.15">
      <c r="F2022" t="s">
        <v>2446</v>
      </c>
    </row>
    <row r="2023" spans="6:6" x14ac:dyDescent="0.15">
      <c r="F2023" t="s">
        <v>2447</v>
      </c>
    </row>
    <row r="2024" spans="6:6" x14ac:dyDescent="0.15">
      <c r="F2024" t="s">
        <v>2448</v>
      </c>
    </row>
    <row r="2025" spans="6:6" x14ac:dyDescent="0.15">
      <c r="F2025" t="s">
        <v>2449</v>
      </c>
    </row>
    <row r="2026" spans="6:6" x14ac:dyDescent="0.15">
      <c r="F2026" t="s">
        <v>2450</v>
      </c>
    </row>
    <row r="2027" spans="6:6" x14ac:dyDescent="0.15">
      <c r="F2027" t="s">
        <v>2451</v>
      </c>
    </row>
    <row r="2028" spans="6:6" x14ac:dyDescent="0.15">
      <c r="F2028" t="s">
        <v>2452</v>
      </c>
    </row>
    <row r="2029" spans="6:6" x14ac:dyDescent="0.15">
      <c r="F2029" t="s">
        <v>2453</v>
      </c>
    </row>
    <row r="2030" spans="6:6" x14ac:dyDescent="0.15">
      <c r="F2030" t="s">
        <v>2454</v>
      </c>
    </row>
    <row r="2031" spans="6:6" x14ac:dyDescent="0.15">
      <c r="F2031" t="s">
        <v>2455</v>
      </c>
    </row>
    <row r="2032" spans="6:6" x14ac:dyDescent="0.15">
      <c r="F2032" t="s">
        <v>2456</v>
      </c>
    </row>
    <row r="2033" spans="6:6" x14ac:dyDescent="0.15">
      <c r="F2033" t="s">
        <v>2457</v>
      </c>
    </row>
    <row r="2034" spans="6:6" x14ac:dyDescent="0.15">
      <c r="F2034" t="s">
        <v>2458</v>
      </c>
    </row>
    <row r="2035" spans="6:6" x14ac:dyDescent="0.15">
      <c r="F2035" t="s">
        <v>2459</v>
      </c>
    </row>
    <row r="2036" spans="6:6" x14ac:dyDescent="0.15">
      <c r="F2036" t="s">
        <v>2460</v>
      </c>
    </row>
    <row r="2037" spans="6:6" x14ac:dyDescent="0.15">
      <c r="F2037" t="s">
        <v>2461</v>
      </c>
    </row>
    <row r="2038" spans="6:6" x14ac:dyDescent="0.15">
      <c r="F2038" t="s">
        <v>2462</v>
      </c>
    </row>
    <row r="2039" spans="6:6" x14ac:dyDescent="0.15">
      <c r="F2039" t="s">
        <v>2463</v>
      </c>
    </row>
    <row r="2040" spans="6:6" x14ac:dyDescent="0.15">
      <c r="F2040" t="s">
        <v>2464</v>
      </c>
    </row>
    <row r="2041" spans="6:6" x14ac:dyDescent="0.15">
      <c r="F2041" t="s">
        <v>2465</v>
      </c>
    </row>
    <row r="2042" spans="6:6" x14ac:dyDescent="0.15">
      <c r="F2042" t="s">
        <v>2466</v>
      </c>
    </row>
    <row r="2043" spans="6:6" x14ac:dyDescent="0.15">
      <c r="F2043" t="s">
        <v>2467</v>
      </c>
    </row>
    <row r="2044" spans="6:6" x14ac:dyDescent="0.15">
      <c r="F2044" t="s">
        <v>2468</v>
      </c>
    </row>
    <row r="2045" spans="6:6" x14ac:dyDescent="0.15">
      <c r="F2045" t="s">
        <v>2469</v>
      </c>
    </row>
    <row r="2046" spans="6:6" x14ac:dyDescent="0.15">
      <c r="F2046" t="s">
        <v>2470</v>
      </c>
    </row>
    <row r="2047" spans="6:6" x14ac:dyDescent="0.15">
      <c r="F2047" t="s">
        <v>2471</v>
      </c>
    </row>
    <row r="2048" spans="6:6" x14ac:dyDescent="0.15">
      <c r="F2048" t="s">
        <v>2472</v>
      </c>
    </row>
    <row r="2049" spans="6:6" x14ac:dyDescent="0.15">
      <c r="F2049" t="s">
        <v>2473</v>
      </c>
    </row>
    <row r="2050" spans="6:6" x14ac:dyDescent="0.15">
      <c r="F2050" t="s">
        <v>2474</v>
      </c>
    </row>
    <row r="2051" spans="6:6" x14ac:dyDescent="0.15">
      <c r="F2051" t="s">
        <v>2475</v>
      </c>
    </row>
    <row r="2052" spans="6:6" x14ac:dyDescent="0.15">
      <c r="F2052" t="s">
        <v>2476</v>
      </c>
    </row>
    <row r="2053" spans="6:6" x14ac:dyDescent="0.15">
      <c r="F2053" t="s">
        <v>2477</v>
      </c>
    </row>
    <row r="2054" spans="6:6" x14ac:dyDescent="0.15">
      <c r="F2054" t="s">
        <v>2478</v>
      </c>
    </row>
    <row r="2055" spans="6:6" x14ac:dyDescent="0.15">
      <c r="F2055" t="s">
        <v>2479</v>
      </c>
    </row>
    <row r="2056" spans="6:6" x14ac:dyDescent="0.15">
      <c r="F2056" t="s">
        <v>2480</v>
      </c>
    </row>
    <row r="2057" spans="6:6" x14ac:dyDescent="0.15">
      <c r="F2057" t="s">
        <v>2481</v>
      </c>
    </row>
    <row r="2058" spans="6:6" x14ac:dyDescent="0.15">
      <c r="F2058" t="s">
        <v>2482</v>
      </c>
    </row>
    <row r="2059" spans="6:6" x14ac:dyDescent="0.15">
      <c r="F2059" t="s">
        <v>2483</v>
      </c>
    </row>
    <row r="2060" spans="6:6" x14ac:dyDescent="0.15">
      <c r="F2060" t="s">
        <v>2484</v>
      </c>
    </row>
    <row r="2061" spans="6:6" x14ac:dyDescent="0.15">
      <c r="F2061" t="s">
        <v>2485</v>
      </c>
    </row>
    <row r="2062" spans="6:6" x14ac:dyDescent="0.15">
      <c r="F2062" t="s">
        <v>2486</v>
      </c>
    </row>
    <row r="2063" spans="6:6" x14ac:dyDescent="0.15">
      <c r="F2063" t="s">
        <v>2487</v>
      </c>
    </row>
    <row r="2064" spans="6:6" x14ac:dyDescent="0.15">
      <c r="F2064" t="s">
        <v>2488</v>
      </c>
    </row>
    <row r="2065" spans="6:6" x14ac:dyDescent="0.15">
      <c r="F2065" t="s">
        <v>2489</v>
      </c>
    </row>
    <row r="2066" spans="6:6" x14ac:dyDescent="0.15">
      <c r="F2066" t="s">
        <v>2490</v>
      </c>
    </row>
    <row r="2067" spans="6:6" x14ac:dyDescent="0.15">
      <c r="F2067" t="s">
        <v>2491</v>
      </c>
    </row>
    <row r="2068" spans="6:6" x14ac:dyDescent="0.15">
      <c r="F2068" t="s">
        <v>2492</v>
      </c>
    </row>
    <row r="2069" spans="6:6" x14ac:dyDescent="0.15">
      <c r="F2069" t="s">
        <v>2493</v>
      </c>
    </row>
    <row r="2070" spans="6:6" x14ac:dyDescent="0.15">
      <c r="F2070" t="s">
        <v>2494</v>
      </c>
    </row>
    <row r="2071" spans="6:6" x14ac:dyDescent="0.15">
      <c r="F2071" t="s">
        <v>2495</v>
      </c>
    </row>
    <row r="2072" spans="6:6" x14ac:dyDescent="0.15">
      <c r="F2072" t="s">
        <v>2496</v>
      </c>
    </row>
    <row r="2073" spans="6:6" x14ac:dyDescent="0.15">
      <c r="F2073" t="s">
        <v>2497</v>
      </c>
    </row>
    <row r="2074" spans="6:6" x14ac:dyDescent="0.15">
      <c r="F2074" t="s">
        <v>2498</v>
      </c>
    </row>
    <row r="2075" spans="6:6" x14ac:dyDescent="0.15">
      <c r="F2075" t="s">
        <v>2499</v>
      </c>
    </row>
    <row r="2076" spans="6:6" x14ac:dyDescent="0.15">
      <c r="F2076" t="s">
        <v>2500</v>
      </c>
    </row>
    <row r="2077" spans="6:6" x14ac:dyDescent="0.15">
      <c r="F2077" t="s">
        <v>2501</v>
      </c>
    </row>
    <row r="2078" spans="6:6" x14ac:dyDescent="0.15">
      <c r="F2078" t="s">
        <v>2502</v>
      </c>
    </row>
    <row r="2079" spans="6:6" x14ac:dyDescent="0.15">
      <c r="F2079" t="s">
        <v>2503</v>
      </c>
    </row>
    <row r="2080" spans="6:6" x14ac:dyDescent="0.15">
      <c r="F2080" t="s">
        <v>2504</v>
      </c>
    </row>
    <row r="2081" spans="6:6" x14ac:dyDescent="0.15">
      <c r="F2081" t="s">
        <v>2505</v>
      </c>
    </row>
    <row r="2082" spans="6:6" x14ac:dyDescent="0.15">
      <c r="F2082" t="s">
        <v>2506</v>
      </c>
    </row>
    <row r="2083" spans="6:6" x14ac:dyDescent="0.15">
      <c r="F2083" t="s">
        <v>2507</v>
      </c>
    </row>
    <row r="2084" spans="6:6" x14ac:dyDescent="0.15">
      <c r="F2084" t="s">
        <v>2508</v>
      </c>
    </row>
    <row r="2085" spans="6:6" x14ac:dyDescent="0.15">
      <c r="F2085" t="s">
        <v>2509</v>
      </c>
    </row>
    <row r="2086" spans="6:6" x14ac:dyDescent="0.15">
      <c r="F2086" t="s">
        <v>2510</v>
      </c>
    </row>
    <row r="2087" spans="6:6" x14ac:dyDescent="0.15">
      <c r="F2087" t="s">
        <v>2511</v>
      </c>
    </row>
    <row r="2088" spans="6:6" x14ac:dyDescent="0.15">
      <c r="F2088" t="s">
        <v>2512</v>
      </c>
    </row>
    <row r="2089" spans="6:6" x14ac:dyDescent="0.15">
      <c r="F2089" t="s">
        <v>2513</v>
      </c>
    </row>
    <row r="2090" spans="6:6" x14ac:dyDescent="0.15">
      <c r="F2090" t="s">
        <v>2514</v>
      </c>
    </row>
    <row r="2091" spans="6:6" x14ac:dyDescent="0.15">
      <c r="F2091" t="s">
        <v>2515</v>
      </c>
    </row>
    <row r="2092" spans="6:6" x14ac:dyDescent="0.15">
      <c r="F2092" t="s">
        <v>2516</v>
      </c>
    </row>
    <row r="2093" spans="6:6" x14ac:dyDescent="0.15">
      <c r="F2093" t="s">
        <v>2517</v>
      </c>
    </row>
    <row r="2094" spans="6:6" x14ac:dyDescent="0.15">
      <c r="F2094" t="s">
        <v>2518</v>
      </c>
    </row>
    <row r="2095" spans="6:6" x14ac:dyDescent="0.15">
      <c r="F2095" t="s">
        <v>2519</v>
      </c>
    </row>
    <row r="2096" spans="6:6" x14ac:dyDescent="0.15">
      <c r="F2096" t="s">
        <v>2520</v>
      </c>
    </row>
    <row r="2097" spans="6:6" x14ac:dyDescent="0.15">
      <c r="F2097" t="s">
        <v>2521</v>
      </c>
    </row>
    <row r="2098" spans="6:6" x14ac:dyDescent="0.15">
      <c r="F2098" t="s">
        <v>2522</v>
      </c>
    </row>
    <row r="2099" spans="6:6" x14ac:dyDescent="0.15">
      <c r="F2099" t="s">
        <v>2523</v>
      </c>
    </row>
    <row r="2100" spans="6:6" x14ac:dyDescent="0.15">
      <c r="F2100" t="s">
        <v>2524</v>
      </c>
    </row>
    <row r="2101" spans="6:6" x14ac:dyDescent="0.15">
      <c r="F2101" t="s">
        <v>2525</v>
      </c>
    </row>
    <row r="2102" spans="6:6" x14ac:dyDescent="0.15">
      <c r="F2102" t="s">
        <v>2526</v>
      </c>
    </row>
    <row r="2103" spans="6:6" x14ac:dyDescent="0.15">
      <c r="F2103" t="s">
        <v>2527</v>
      </c>
    </row>
    <row r="2104" spans="6:6" x14ac:dyDescent="0.15">
      <c r="F2104" t="s">
        <v>2528</v>
      </c>
    </row>
    <row r="2105" spans="6:6" x14ac:dyDescent="0.15">
      <c r="F2105" t="s">
        <v>2529</v>
      </c>
    </row>
    <row r="2106" spans="6:6" x14ac:dyDescent="0.15">
      <c r="F2106" t="s">
        <v>2530</v>
      </c>
    </row>
    <row r="2107" spans="6:6" x14ac:dyDescent="0.15">
      <c r="F2107" t="s">
        <v>2531</v>
      </c>
    </row>
    <row r="2108" spans="6:6" x14ac:dyDescent="0.15">
      <c r="F2108" t="s">
        <v>2532</v>
      </c>
    </row>
    <row r="2109" spans="6:6" x14ac:dyDescent="0.15">
      <c r="F2109" t="s">
        <v>2533</v>
      </c>
    </row>
    <row r="2110" spans="6:6" x14ac:dyDescent="0.15">
      <c r="F2110" t="s">
        <v>2534</v>
      </c>
    </row>
    <row r="2111" spans="6:6" x14ac:dyDescent="0.15">
      <c r="F2111" t="s">
        <v>2535</v>
      </c>
    </row>
    <row r="2112" spans="6:6" x14ac:dyDescent="0.15">
      <c r="F2112" t="s">
        <v>2536</v>
      </c>
    </row>
    <row r="2113" spans="6:6" x14ac:dyDescent="0.15">
      <c r="F2113" t="s">
        <v>2537</v>
      </c>
    </row>
    <row r="2114" spans="6:6" x14ac:dyDescent="0.15">
      <c r="F2114" t="s">
        <v>2538</v>
      </c>
    </row>
    <row r="2115" spans="6:6" x14ac:dyDescent="0.15">
      <c r="F2115" t="s">
        <v>2539</v>
      </c>
    </row>
    <row r="2116" spans="6:6" x14ac:dyDescent="0.15">
      <c r="F2116" t="s">
        <v>2540</v>
      </c>
    </row>
    <row r="2117" spans="6:6" x14ac:dyDescent="0.15">
      <c r="F2117" t="s">
        <v>2541</v>
      </c>
    </row>
    <row r="2118" spans="6:6" x14ac:dyDescent="0.15">
      <c r="F2118" t="s">
        <v>2542</v>
      </c>
    </row>
    <row r="2119" spans="6:6" x14ac:dyDescent="0.15">
      <c r="F2119" t="s">
        <v>2543</v>
      </c>
    </row>
    <row r="2120" spans="6:6" x14ac:dyDescent="0.15">
      <c r="F2120" t="s">
        <v>2544</v>
      </c>
    </row>
    <row r="2121" spans="6:6" x14ac:dyDescent="0.15">
      <c r="F2121" t="s">
        <v>2545</v>
      </c>
    </row>
    <row r="2122" spans="6:6" x14ac:dyDescent="0.15">
      <c r="F2122" t="s">
        <v>2546</v>
      </c>
    </row>
    <row r="2123" spans="6:6" x14ac:dyDescent="0.15">
      <c r="F2123" t="s">
        <v>2547</v>
      </c>
    </row>
    <row r="2124" spans="6:6" x14ac:dyDescent="0.15">
      <c r="F2124" t="s">
        <v>2548</v>
      </c>
    </row>
    <row r="2125" spans="6:6" x14ac:dyDescent="0.15">
      <c r="F2125" t="s">
        <v>2549</v>
      </c>
    </row>
    <row r="2126" spans="6:6" x14ac:dyDescent="0.15">
      <c r="F2126" t="s">
        <v>2550</v>
      </c>
    </row>
    <row r="2127" spans="6:6" x14ac:dyDescent="0.15">
      <c r="F2127" t="s">
        <v>2551</v>
      </c>
    </row>
    <row r="2128" spans="6:6" x14ac:dyDescent="0.15">
      <c r="F2128" t="s">
        <v>2552</v>
      </c>
    </row>
    <row r="2129" spans="6:6" x14ac:dyDescent="0.15">
      <c r="F2129" t="s">
        <v>2553</v>
      </c>
    </row>
    <row r="2130" spans="6:6" x14ac:dyDescent="0.15">
      <c r="F2130" t="s">
        <v>2554</v>
      </c>
    </row>
    <row r="2131" spans="6:6" x14ac:dyDescent="0.15">
      <c r="F2131" t="s">
        <v>2555</v>
      </c>
    </row>
    <row r="2132" spans="6:6" x14ac:dyDescent="0.15">
      <c r="F2132" t="s">
        <v>219</v>
      </c>
    </row>
    <row r="2133" spans="6:6" x14ac:dyDescent="0.15">
      <c r="F2133" t="s">
        <v>2556</v>
      </c>
    </row>
    <row r="2134" spans="6:6" x14ac:dyDescent="0.15">
      <c r="F2134" t="s">
        <v>2557</v>
      </c>
    </row>
    <row r="2135" spans="6:6" x14ac:dyDescent="0.15">
      <c r="F2135" t="s">
        <v>2558</v>
      </c>
    </row>
    <row r="2136" spans="6:6" x14ac:dyDescent="0.15">
      <c r="F2136" t="s">
        <v>2559</v>
      </c>
    </row>
    <row r="2137" spans="6:6" x14ac:dyDescent="0.15">
      <c r="F2137" t="s">
        <v>2560</v>
      </c>
    </row>
    <row r="2138" spans="6:6" x14ac:dyDescent="0.15">
      <c r="F2138" t="s">
        <v>2561</v>
      </c>
    </row>
    <row r="2139" spans="6:6" x14ac:dyDescent="0.15">
      <c r="F2139" t="s">
        <v>2562</v>
      </c>
    </row>
    <row r="2140" spans="6:6" x14ac:dyDescent="0.15">
      <c r="F2140" t="s">
        <v>2563</v>
      </c>
    </row>
    <row r="2141" spans="6:6" x14ac:dyDescent="0.15">
      <c r="F2141" t="s">
        <v>2564</v>
      </c>
    </row>
    <row r="2142" spans="6:6" x14ac:dyDescent="0.15">
      <c r="F2142" t="s">
        <v>2565</v>
      </c>
    </row>
    <row r="2143" spans="6:6" x14ac:dyDescent="0.15">
      <c r="F2143" t="s">
        <v>2566</v>
      </c>
    </row>
    <row r="2144" spans="6:6" x14ac:dyDescent="0.15">
      <c r="F2144" t="s">
        <v>2567</v>
      </c>
    </row>
    <row r="2145" spans="6:6" x14ac:dyDescent="0.15">
      <c r="F2145" t="s">
        <v>2568</v>
      </c>
    </row>
    <row r="2146" spans="6:6" x14ac:dyDescent="0.15">
      <c r="F2146" t="s">
        <v>2569</v>
      </c>
    </row>
    <row r="2147" spans="6:6" x14ac:dyDescent="0.15">
      <c r="F2147" t="s">
        <v>2570</v>
      </c>
    </row>
    <row r="2148" spans="6:6" x14ac:dyDescent="0.15">
      <c r="F2148" t="s">
        <v>2571</v>
      </c>
    </row>
    <row r="2149" spans="6:6" x14ac:dyDescent="0.15">
      <c r="F2149" t="s">
        <v>2572</v>
      </c>
    </row>
    <row r="2150" spans="6:6" x14ac:dyDescent="0.15">
      <c r="F2150" t="s">
        <v>2573</v>
      </c>
    </row>
    <row r="2151" spans="6:6" x14ac:dyDescent="0.15">
      <c r="F2151" t="s">
        <v>2574</v>
      </c>
    </row>
    <row r="2152" spans="6:6" x14ac:dyDescent="0.15">
      <c r="F2152" t="s">
        <v>2575</v>
      </c>
    </row>
    <row r="2153" spans="6:6" x14ac:dyDescent="0.15">
      <c r="F2153" t="s">
        <v>2576</v>
      </c>
    </row>
    <row r="2154" spans="6:6" x14ac:dyDescent="0.15">
      <c r="F2154" t="s">
        <v>2577</v>
      </c>
    </row>
    <row r="2155" spans="6:6" x14ac:dyDescent="0.15">
      <c r="F2155" t="s">
        <v>2578</v>
      </c>
    </row>
    <row r="2156" spans="6:6" x14ac:dyDescent="0.15">
      <c r="F2156" t="s">
        <v>2579</v>
      </c>
    </row>
    <row r="2157" spans="6:6" x14ac:dyDescent="0.15">
      <c r="F2157" t="s">
        <v>2580</v>
      </c>
    </row>
    <row r="2158" spans="6:6" x14ac:dyDescent="0.15">
      <c r="F2158" t="s">
        <v>2581</v>
      </c>
    </row>
    <row r="2159" spans="6:6" x14ac:dyDescent="0.15">
      <c r="F2159" t="s">
        <v>2582</v>
      </c>
    </row>
    <row r="2160" spans="6:6" x14ac:dyDescent="0.15">
      <c r="F2160" t="s">
        <v>2583</v>
      </c>
    </row>
    <row r="2161" spans="6:6" x14ac:dyDescent="0.15">
      <c r="F2161" t="s">
        <v>2584</v>
      </c>
    </row>
    <row r="2162" spans="6:6" x14ac:dyDescent="0.15">
      <c r="F2162" t="s">
        <v>2585</v>
      </c>
    </row>
    <row r="2163" spans="6:6" x14ac:dyDescent="0.15">
      <c r="F2163" t="s">
        <v>2586</v>
      </c>
    </row>
    <row r="2164" spans="6:6" x14ac:dyDescent="0.15">
      <c r="F2164" t="s">
        <v>2587</v>
      </c>
    </row>
    <row r="2165" spans="6:6" x14ac:dyDescent="0.15">
      <c r="F2165" t="s">
        <v>2588</v>
      </c>
    </row>
    <row r="2166" spans="6:6" x14ac:dyDescent="0.15">
      <c r="F2166" t="s">
        <v>2589</v>
      </c>
    </row>
    <row r="2167" spans="6:6" x14ac:dyDescent="0.15">
      <c r="F2167" t="s">
        <v>2590</v>
      </c>
    </row>
    <row r="2168" spans="6:6" x14ac:dyDescent="0.15">
      <c r="F2168" t="s">
        <v>2591</v>
      </c>
    </row>
    <row r="2169" spans="6:6" x14ac:dyDescent="0.15">
      <c r="F2169" t="s">
        <v>2592</v>
      </c>
    </row>
    <row r="2170" spans="6:6" x14ac:dyDescent="0.15">
      <c r="F2170" t="s">
        <v>2593</v>
      </c>
    </row>
    <row r="2171" spans="6:6" x14ac:dyDescent="0.15">
      <c r="F2171" t="s">
        <v>2594</v>
      </c>
    </row>
    <row r="2172" spans="6:6" x14ac:dyDescent="0.15">
      <c r="F2172" t="s">
        <v>2595</v>
      </c>
    </row>
    <row r="2173" spans="6:6" x14ac:dyDescent="0.15">
      <c r="F2173" t="s">
        <v>2596</v>
      </c>
    </row>
    <row r="2174" spans="6:6" x14ac:dyDescent="0.15">
      <c r="F2174" t="s">
        <v>2597</v>
      </c>
    </row>
    <row r="2175" spans="6:6" x14ac:dyDescent="0.15">
      <c r="F2175" t="s">
        <v>2598</v>
      </c>
    </row>
    <row r="2176" spans="6:6" x14ac:dyDescent="0.15">
      <c r="F2176" t="s">
        <v>2599</v>
      </c>
    </row>
    <row r="2177" spans="6:6" x14ac:dyDescent="0.15">
      <c r="F2177" t="s">
        <v>158</v>
      </c>
    </row>
    <row r="2178" spans="6:6" x14ac:dyDescent="0.15">
      <c r="F2178" t="s">
        <v>2600</v>
      </c>
    </row>
    <row r="2179" spans="6:6" x14ac:dyDescent="0.15">
      <c r="F2179" t="s">
        <v>2601</v>
      </c>
    </row>
    <row r="2180" spans="6:6" x14ac:dyDescent="0.15">
      <c r="F2180" t="s">
        <v>2602</v>
      </c>
    </row>
    <row r="2181" spans="6:6" x14ac:dyDescent="0.15">
      <c r="F2181" t="s">
        <v>2603</v>
      </c>
    </row>
    <row r="2182" spans="6:6" x14ac:dyDescent="0.15">
      <c r="F2182" t="s">
        <v>2604</v>
      </c>
    </row>
    <row r="2183" spans="6:6" x14ac:dyDescent="0.15">
      <c r="F2183" t="s">
        <v>2605</v>
      </c>
    </row>
    <row r="2184" spans="6:6" x14ac:dyDescent="0.15">
      <c r="F2184" t="s">
        <v>2606</v>
      </c>
    </row>
    <row r="2185" spans="6:6" x14ac:dyDescent="0.15">
      <c r="F2185" t="s">
        <v>2607</v>
      </c>
    </row>
    <row r="2186" spans="6:6" x14ac:dyDescent="0.15">
      <c r="F2186" t="s">
        <v>2608</v>
      </c>
    </row>
    <row r="2187" spans="6:6" x14ac:dyDescent="0.15">
      <c r="F2187" t="s">
        <v>2609</v>
      </c>
    </row>
    <row r="2188" spans="6:6" x14ac:dyDescent="0.15">
      <c r="F2188" t="s">
        <v>2610</v>
      </c>
    </row>
    <row r="2189" spans="6:6" x14ac:dyDescent="0.15">
      <c r="F2189" t="s">
        <v>2611</v>
      </c>
    </row>
    <row r="2190" spans="6:6" x14ac:dyDescent="0.15">
      <c r="F2190" t="s">
        <v>2612</v>
      </c>
    </row>
    <row r="2191" spans="6:6" x14ac:dyDescent="0.15">
      <c r="F2191" t="s">
        <v>2613</v>
      </c>
    </row>
    <row r="2192" spans="6:6" x14ac:dyDescent="0.15">
      <c r="F2192" t="s">
        <v>2614</v>
      </c>
    </row>
    <row r="2193" spans="6:6" x14ac:dyDescent="0.15">
      <c r="F2193" t="s">
        <v>2615</v>
      </c>
    </row>
    <row r="2194" spans="6:6" x14ac:dyDescent="0.15">
      <c r="F2194" t="s">
        <v>2616</v>
      </c>
    </row>
    <row r="2195" spans="6:6" x14ac:dyDescent="0.15">
      <c r="F2195" t="s">
        <v>2617</v>
      </c>
    </row>
    <row r="2196" spans="6:6" x14ac:dyDescent="0.15">
      <c r="F2196" t="s">
        <v>2618</v>
      </c>
    </row>
    <row r="2197" spans="6:6" x14ac:dyDescent="0.15">
      <c r="F2197" t="s">
        <v>2619</v>
      </c>
    </row>
    <row r="2198" spans="6:6" x14ac:dyDescent="0.15">
      <c r="F2198" t="s">
        <v>2620</v>
      </c>
    </row>
    <row r="2199" spans="6:6" x14ac:dyDescent="0.15">
      <c r="F2199" t="s">
        <v>2621</v>
      </c>
    </row>
    <row r="2200" spans="6:6" x14ac:dyDescent="0.15">
      <c r="F2200" t="s">
        <v>2622</v>
      </c>
    </row>
    <row r="2201" spans="6:6" x14ac:dyDescent="0.15">
      <c r="F2201" t="s">
        <v>982</v>
      </c>
    </row>
    <row r="2202" spans="6:6" x14ac:dyDescent="0.15">
      <c r="F2202" t="s">
        <v>2623</v>
      </c>
    </row>
    <row r="2203" spans="6:6" x14ac:dyDescent="0.15">
      <c r="F2203" t="s">
        <v>2624</v>
      </c>
    </row>
    <row r="2204" spans="6:6" x14ac:dyDescent="0.15">
      <c r="F2204" t="s">
        <v>2625</v>
      </c>
    </row>
    <row r="2205" spans="6:6" x14ac:dyDescent="0.15">
      <c r="F2205" t="s">
        <v>103</v>
      </c>
    </row>
    <row r="2206" spans="6:6" x14ac:dyDescent="0.15">
      <c r="F2206" t="s">
        <v>2626</v>
      </c>
    </row>
    <row r="2207" spans="6:6" x14ac:dyDescent="0.15">
      <c r="F2207" t="s">
        <v>2627</v>
      </c>
    </row>
    <row r="2208" spans="6:6" x14ac:dyDescent="0.15">
      <c r="F2208" t="s">
        <v>2628</v>
      </c>
    </row>
    <row r="2209" spans="6:6" x14ac:dyDescent="0.15">
      <c r="F2209" t="s">
        <v>2629</v>
      </c>
    </row>
    <row r="2210" spans="6:6" x14ac:dyDescent="0.15">
      <c r="F2210" t="s">
        <v>2630</v>
      </c>
    </row>
    <row r="2211" spans="6:6" x14ac:dyDescent="0.15">
      <c r="F2211" t="s">
        <v>2631</v>
      </c>
    </row>
    <row r="2212" spans="6:6" x14ac:dyDescent="0.15">
      <c r="F2212" t="s">
        <v>2632</v>
      </c>
    </row>
    <row r="2213" spans="6:6" x14ac:dyDescent="0.15">
      <c r="F2213" t="s">
        <v>2633</v>
      </c>
    </row>
    <row r="2214" spans="6:6" x14ac:dyDescent="0.15">
      <c r="F2214" t="s">
        <v>2634</v>
      </c>
    </row>
    <row r="2215" spans="6:6" x14ac:dyDescent="0.15">
      <c r="F2215" t="s">
        <v>2635</v>
      </c>
    </row>
    <row r="2216" spans="6:6" x14ac:dyDescent="0.15">
      <c r="F2216" t="s">
        <v>2636</v>
      </c>
    </row>
    <row r="2217" spans="6:6" x14ac:dyDescent="0.15">
      <c r="F2217" t="s">
        <v>2637</v>
      </c>
    </row>
    <row r="2218" spans="6:6" x14ac:dyDescent="0.15">
      <c r="F2218" t="s">
        <v>209</v>
      </c>
    </row>
    <row r="2219" spans="6:6" x14ac:dyDescent="0.15">
      <c r="F2219" t="s">
        <v>2638</v>
      </c>
    </row>
    <row r="2220" spans="6:6" x14ac:dyDescent="0.15">
      <c r="F2220" t="s">
        <v>2639</v>
      </c>
    </row>
    <row r="2221" spans="6:6" x14ac:dyDescent="0.15">
      <c r="F2221" t="s">
        <v>2640</v>
      </c>
    </row>
    <row r="2222" spans="6:6" x14ac:dyDescent="0.15">
      <c r="F2222" t="s">
        <v>2641</v>
      </c>
    </row>
    <row r="2223" spans="6:6" x14ac:dyDescent="0.15">
      <c r="F2223" t="s">
        <v>2642</v>
      </c>
    </row>
    <row r="2224" spans="6:6" x14ac:dyDescent="0.15">
      <c r="F2224" t="s">
        <v>2643</v>
      </c>
    </row>
    <row r="2225" spans="6:6" x14ac:dyDescent="0.15">
      <c r="F2225" t="s">
        <v>2644</v>
      </c>
    </row>
    <row r="2226" spans="6:6" x14ac:dyDescent="0.15">
      <c r="F2226" t="s">
        <v>2645</v>
      </c>
    </row>
    <row r="2227" spans="6:6" x14ac:dyDescent="0.15">
      <c r="F2227" t="s">
        <v>2646</v>
      </c>
    </row>
    <row r="2228" spans="6:6" x14ac:dyDescent="0.15">
      <c r="F2228" t="s">
        <v>2647</v>
      </c>
    </row>
    <row r="2229" spans="6:6" x14ac:dyDescent="0.15">
      <c r="F2229" t="s">
        <v>2648</v>
      </c>
    </row>
    <row r="2230" spans="6:6" x14ac:dyDescent="0.15">
      <c r="F2230" t="s">
        <v>2649</v>
      </c>
    </row>
    <row r="2231" spans="6:6" x14ac:dyDescent="0.15">
      <c r="F2231" t="s">
        <v>2650</v>
      </c>
    </row>
    <row r="2232" spans="6:6" x14ac:dyDescent="0.15">
      <c r="F2232" t="s">
        <v>2651</v>
      </c>
    </row>
    <row r="2233" spans="6:6" x14ac:dyDescent="0.15">
      <c r="F2233" t="s">
        <v>2652</v>
      </c>
    </row>
    <row r="2234" spans="6:6" x14ac:dyDescent="0.15">
      <c r="F2234" t="s">
        <v>2653</v>
      </c>
    </row>
    <row r="2235" spans="6:6" x14ac:dyDescent="0.15">
      <c r="F2235" t="s">
        <v>2654</v>
      </c>
    </row>
    <row r="2236" spans="6:6" x14ac:dyDescent="0.15">
      <c r="F2236" t="s">
        <v>2655</v>
      </c>
    </row>
    <row r="2237" spans="6:6" x14ac:dyDescent="0.15">
      <c r="F2237" t="s">
        <v>2656</v>
      </c>
    </row>
    <row r="2238" spans="6:6" x14ac:dyDescent="0.15">
      <c r="F2238" t="s">
        <v>2657</v>
      </c>
    </row>
    <row r="2239" spans="6:6" x14ac:dyDescent="0.15">
      <c r="F2239" t="s">
        <v>2658</v>
      </c>
    </row>
    <row r="2240" spans="6:6" x14ac:dyDescent="0.15">
      <c r="F2240" t="s">
        <v>2659</v>
      </c>
    </row>
    <row r="2241" spans="6:6" x14ac:dyDescent="0.15">
      <c r="F2241" t="s">
        <v>2660</v>
      </c>
    </row>
    <row r="2242" spans="6:6" x14ac:dyDescent="0.15">
      <c r="F2242" t="s">
        <v>2661</v>
      </c>
    </row>
    <row r="2243" spans="6:6" x14ac:dyDescent="0.15">
      <c r="F2243" t="s">
        <v>2662</v>
      </c>
    </row>
    <row r="2244" spans="6:6" x14ac:dyDescent="0.15">
      <c r="F2244" t="s">
        <v>2663</v>
      </c>
    </row>
    <row r="2245" spans="6:6" x14ac:dyDescent="0.15">
      <c r="F2245" t="s">
        <v>2664</v>
      </c>
    </row>
    <row r="2246" spans="6:6" x14ac:dyDescent="0.15">
      <c r="F2246" t="s">
        <v>2665</v>
      </c>
    </row>
    <row r="2247" spans="6:6" x14ac:dyDescent="0.15">
      <c r="F2247" t="s">
        <v>2666</v>
      </c>
    </row>
    <row r="2248" spans="6:6" x14ac:dyDescent="0.15">
      <c r="F2248" t="s">
        <v>2667</v>
      </c>
    </row>
    <row r="2249" spans="6:6" x14ac:dyDescent="0.15">
      <c r="F2249" t="s">
        <v>2668</v>
      </c>
    </row>
    <row r="2250" spans="6:6" x14ac:dyDescent="0.15">
      <c r="F2250" t="s">
        <v>2669</v>
      </c>
    </row>
    <row r="2251" spans="6:6" x14ac:dyDescent="0.15">
      <c r="F2251" t="s">
        <v>2670</v>
      </c>
    </row>
    <row r="2252" spans="6:6" x14ac:dyDescent="0.15">
      <c r="F2252" t="s">
        <v>2671</v>
      </c>
    </row>
    <row r="2253" spans="6:6" x14ac:dyDescent="0.15">
      <c r="F2253" t="s">
        <v>2672</v>
      </c>
    </row>
    <row r="2254" spans="6:6" x14ac:dyDescent="0.15">
      <c r="F2254" t="s">
        <v>2673</v>
      </c>
    </row>
    <row r="2255" spans="6:6" x14ac:dyDescent="0.15">
      <c r="F2255" t="s">
        <v>2674</v>
      </c>
    </row>
    <row r="2256" spans="6:6" x14ac:dyDescent="0.15">
      <c r="F2256" t="s">
        <v>2675</v>
      </c>
    </row>
    <row r="2257" spans="6:6" x14ac:dyDescent="0.15">
      <c r="F2257" t="s">
        <v>2676</v>
      </c>
    </row>
    <row r="2258" spans="6:6" x14ac:dyDescent="0.15">
      <c r="F2258" t="s">
        <v>2677</v>
      </c>
    </row>
    <row r="2259" spans="6:6" x14ac:dyDescent="0.15">
      <c r="F2259" t="s">
        <v>2678</v>
      </c>
    </row>
    <row r="2260" spans="6:6" x14ac:dyDescent="0.15">
      <c r="F2260" t="s">
        <v>2679</v>
      </c>
    </row>
    <row r="2261" spans="6:6" x14ac:dyDescent="0.15">
      <c r="F2261" t="s">
        <v>2680</v>
      </c>
    </row>
    <row r="2262" spans="6:6" x14ac:dyDescent="0.15">
      <c r="F2262" t="s">
        <v>2681</v>
      </c>
    </row>
    <row r="2263" spans="6:6" x14ac:dyDescent="0.15">
      <c r="F2263" t="s">
        <v>2682</v>
      </c>
    </row>
    <row r="2264" spans="6:6" x14ac:dyDescent="0.15">
      <c r="F2264" t="s">
        <v>2683</v>
      </c>
    </row>
    <row r="2265" spans="6:6" x14ac:dyDescent="0.15">
      <c r="F2265" t="s">
        <v>2684</v>
      </c>
    </row>
    <row r="2266" spans="6:6" x14ac:dyDescent="0.15">
      <c r="F2266" t="s">
        <v>2685</v>
      </c>
    </row>
    <row r="2267" spans="6:6" x14ac:dyDescent="0.15">
      <c r="F2267" t="s">
        <v>2686</v>
      </c>
    </row>
    <row r="2268" spans="6:6" x14ac:dyDescent="0.15">
      <c r="F2268" t="s">
        <v>2687</v>
      </c>
    </row>
    <row r="2269" spans="6:6" x14ac:dyDescent="0.15">
      <c r="F2269" t="s">
        <v>2688</v>
      </c>
    </row>
    <row r="2270" spans="6:6" x14ac:dyDescent="0.15">
      <c r="F2270" t="s">
        <v>2689</v>
      </c>
    </row>
    <row r="2271" spans="6:6" x14ac:dyDescent="0.15">
      <c r="F2271" t="s">
        <v>2690</v>
      </c>
    </row>
    <row r="2272" spans="6:6" x14ac:dyDescent="0.15">
      <c r="F2272" t="s">
        <v>2691</v>
      </c>
    </row>
    <row r="2273" spans="6:6" x14ac:dyDescent="0.15">
      <c r="F2273" t="s">
        <v>2692</v>
      </c>
    </row>
    <row r="2274" spans="6:6" x14ac:dyDescent="0.15">
      <c r="F2274" t="s">
        <v>2693</v>
      </c>
    </row>
    <row r="2275" spans="6:6" x14ac:dyDescent="0.15">
      <c r="F2275" t="s">
        <v>2694</v>
      </c>
    </row>
    <row r="2276" spans="6:6" x14ac:dyDescent="0.15">
      <c r="F2276" t="s">
        <v>2695</v>
      </c>
    </row>
    <row r="2277" spans="6:6" x14ac:dyDescent="0.15">
      <c r="F2277" t="s">
        <v>2696</v>
      </c>
    </row>
    <row r="2278" spans="6:6" x14ac:dyDescent="0.15">
      <c r="F2278" t="s">
        <v>2697</v>
      </c>
    </row>
    <row r="2279" spans="6:6" x14ac:dyDescent="0.15">
      <c r="F2279" t="s">
        <v>2698</v>
      </c>
    </row>
    <row r="2280" spans="6:6" x14ac:dyDescent="0.15">
      <c r="F2280" t="s">
        <v>2699</v>
      </c>
    </row>
    <row r="2281" spans="6:6" x14ac:dyDescent="0.15">
      <c r="F2281" t="s">
        <v>2700</v>
      </c>
    </row>
    <row r="2282" spans="6:6" x14ac:dyDescent="0.15">
      <c r="F2282" t="s">
        <v>2701</v>
      </c>
    </row>
    <row r="2283" spans="6:6" x14ac:dyDescent="0.15">
      <c r="F2283" t="s">
        <v>2702</v>
      </c>
    </row>
    <row r="2284" spans="6:6" x14ac:dyDescent="0.15">
      <c r="F2284" t="s">
        <v>2703</v>
      </c>
    </row>
    <row r="2285" spans="6:6" x14ac:dyDescent="0.15">
      <c r="F2285" t="s">
        <v>2704</v>
      </c>
    </row>
    <row r="2286" spans="6:6" x14ac:dyDescent="0.15">
      <c r="F2286" t="s">
        <v>2705</v>
      </c>
    </row>
    <row r="2287" spans="6:6" x14ac:dyDescent="0.15">
      <c r="F2287" t="s">
        <v>2706</v>
      </c>
    </row>
    <row r="2288" spans="6:6" x14ac:dyDescent="0.15">
      <c r="F2288" t="s">
        <v>2707</v>
      </c>
    </row>
    <row r="2289" spans="6:6" x14ac:dyDescent="0.15">
      <c r="F2289" t="s">
        <v>2708</v>
      </c>
    </row>
    <row r="2290" spans="6:6" x14ac:dyDescent="0.15">
      <c r="F2290" t="s">
        <v>235</v>
      </c>
    </row>
    <row r="2291" spans="6:6" x14ac:dyDescent="0.15">
      <c r="F2291" t="s">
        <v>2709</v>
      </c>
    </row>
    <row r="2292" spans="6:6" x14ac:dyDescent="0.15">
      <c r="F2292" t="s">
        <v>2710</v>
      </c>
    </row>
    <row r="2293" spans="6:6" x14ac:dyDescent="0.15">
      <c r="F2293" t="s">
        <v>2711</v>
      </c>
    </row>
    <row r="2294" spans="6:6" x14ac:dyDescent="0.15">
      <c r="F2294" t="s">
        <v>2712</v>
      </c>
    </row>
    <row r="2295" spans="6:6" x14ac:dyDescent="0.15">
      <c r="F2295" t="s">
        <v>2713</v>
      </c>
    </row>
    <row r="2296" spans="6:6" x14ac:dyDescent="0.15">
      <c r="F2296" t="s">
        <v>2714</v>
      </c>
    </row>
    <row r="2297" spans="6:6" x14ac:dyDescent="0.15">
      <c r="F2297" t="s">
        <v>2715</v>
      </c>
    </row>
    <row r="2298" spans="6:6" x14ac:dyDescent="0.15">
      <c r="F2298" t="s">
        <v>2716</v>
      </c>
    </row>
    <row r="2299" spans="6:6" x14ac:dyDescent="0.15">
      <c r="F2299" t="s">
        <v>2717</v>
      </c>
    </row>
    <row r="2300" spans="6:6" x14ac:dyDescent="0.15">
      <c r="F2300" t="s">
        <v>2718</v>
      </c>
    </row>
    <row r="2301" spans="6:6" x14ac:dyDescent="0.15">
      <c r="F2301" t="s">
        <v>2719</v>
      </c>
    </row>
    <row r="2302" spans="6:6" x14ac:dyDescent="0.15">
      <c r="F2302" t="s">
        <v>2720</v>
      </c>
    </row>
    <row r="2303" spans="6:6" x14ac:dyDescent="0.15">
      <c r="F2303" t="s">
        <v>2721</v>
      </c>
    </row>
    <row r="2304" spans="6:6" x14ac:dyDescent="0.15">
      <c r="F2304" t="s">
        <v>2722</v>
      </c>
    </row>
    <row r="2305" spans="6:6" x14ac:dyDescent="0.15">
      <c r="F2305" t="s">
        <v>2723</v>
      </c>
    </row>
    <row r="2306" spans="6:6" x14ac:dyDescent="0.15">
      <c r="F2306" t="s">
        <v>2724</v>
      </c>
    </row>
    <row r="2307" spans="6:6" x14ac:dyDescent="0.15">
      <c r="F2307" t="s">
        <v>2725</v>
      </c>
    </row>
    <row r="2308" spans="6:6" x14ac:dyDescent="0.15">
      <c r="F2308" t="s">
        <v>2726</v>
      </c>
    </row>
    <row r="2309" spans="6:6" x14ac:dyDescent="0.15">
      <c r="F2309" t="s">
        <v>2727</v>
      </c>
    </row>
    <row r="2310" spans="6:6" x14ac:dyDescent="0.15">
      <c r="F2310" t="s">
        <v>2728</v>
      </c>
    </row>
    <row r="2311" spans="6:6" x14ac:dyDescent="0.15">
      <c r="F2311" t="s">
        <v>2729</v>
      </c>
    </row>
    <row r="2312" spans="6:6" x14ac:dyDescent="0.15">
      <c r="F2312" t="s">
        <v>2730</v>
      </c>
    </row>
    <row r="2313" spans="6:6" x14ac:dyDescent="0.15">
      <c r="F2313" t="s">
        <v>2731</v>
      </c>
    </row>
    <row r="2314" spans="6:6" x14ac:dyDescent="0.15">
      <c r="F2314" t="s">
        <v>2732</v>
      </c>
    </row>
    <row r="2315" spans="6:6" x14ac:dyDescent="0.15">
      <c r="F2315" t="s">
        <v>2733</v>
      </c>
    </row>
    <row r="2316" spans="6:6" x14ac:dyDescent="0.15">
      <c r="F2316" t="s">
        <v>2734</v>
      </c>
    </row>
    <row r="2317" spans="6:6" x14ac:dyDescent="0.15">
      <c r="F2317" t="s">
        <v>2735</v>
      </c>
    </row>
    <row r="2318" spans="6:6" x14ac:dyDescent="0.15">
      <c r="F2318" t="s">
        <v>2736</v>
      </c>
    </row>
    <row r="2319" spans="6:6" x14ac:dyDescent="0.15">
      <c r="F2319" t="s">
        <v>2737</v>
      </c>
    </row>
    <row r="2320" spans="6:6" x14ac:dyDescent="0.15">
      <c r="F2320" t="s">
        <v>2738</v>
      </c>
    </row>
    <row r="2321" spans="6:6" x14ac:dyDescent="0.15">
      <c r="F2321" t="s">
        <v>2739</v>
      </c>
    </row>
    <row r="2322" spans="6:6" x14ac:dyDescent="0.15">
      <c r="F2322" t="s">
        <v>2740</v>
      </c>
    </row>
    <row r="2323" spans="6:6" x14ac:dyDescent="0.15">
      <c r="F2323" t="s">
        <v>2741</v>
      </c>
    </row>
    <row r="2324" spans="6:6" x14ac:dyDescent="0.15">
      <c r="F2324" t="s">
        <v>2742</v>
      </c>
    </row>
    <row r="2325" spans="6:6" x14ac:dyDescent="0.15">
      <c r="F2325" t="s">
        <v>2743</v>
      </c>
    </row>
    <row r="2326" spans="6:6" x14ac:dyDescent="0.15">
      <c r="F2326" t="s">
        <v>2744</v>
      </c>
    </row>
    <row r="2327" spans="6:6" x14ac:dyDescent="0.15">
      <c r="F2327" t="s">
        <v>2745</v>
      </c>
    </row>
    <row r="2328" spans="6:6" x14ac:dyDescent="0.15">
      <c r="F2328" t="s">
        <v>2746</v>
      </c>
    </row>
    <row r="2329" spans="6:6" x14ac:dyDescent="0.15">
      <c r="F2329" t="s">
        <v>2747</v>
      </c>
    </row>
    <row r="2330" spans="6:6" x14ac:dyDescent="0.15">
      <c r="F2330" t="s">
        <v>2748</v>
      </c>
    </row>
    <row r="2331" spans="6:6" x14ac:dyDescent="0.15">
      <c r="F2331" t="s">
        <v>2749</v>
      </c>
    </row>
    <row r="2332" spans="6:6" x14ac:dyDescent="0.15">
      <c r="F2332" t="s">
        <v>2750</v>
      </c>
    </row>
    <row r="2333" spans="6:6" x14ac:dyDescent="0.15">
      <c r="F2333" t="s">
        <v>2751</v>
      </c>
    </row>
    <row r="2334" spans="6:6" x14ac:dyDescent="0.15">
      <c r="F2334" t="s">
        <v>2752</v>
      </c>
    </row>
    <row r="2335" spans="6:6" x14ac:dyDescent="0.15">
      <c r="F2335" t="s">
        <v>2753</v>
      </c>
    </row>
    <row r="2336" spans="6:6" x14ac:dyDescent="0.15">
      <c r="F2336" t="s">
        <v>2754</v>
      </c>
    </row>
    <row r="2337" spans="6:6" x14ac:dyDescent="0.15">
      <c r="F2337" t="s">
        <v>2755</v>
      </c>
    </row>
    <row r="2338" spans="6:6" x14ac:dyDescent="0.15">
      <c r="F2338" t="s">
        <v>2756</v>
      </c>
    </row>
    <row r="2339" spans="6:6" x14ac:dyDescent="0.15">
      <c r="F2339" t="s">
        <v>2757</v>
      </c>
    </row>
    <row r="2340" spans="6:6" x14ac:dyDescent="0.15">
      <c r="F2340" t="s">
        <v>2758</v>
      </c>
    </row>
    <row r="2341" spans="6:6" x14ac:dyDescent="0.15">
      <c r="F2341" t="s">
        <v>2759</v>
      </c>
    </row>
    <row r="2342" spans="6:6" x14ac:dyDescent="0.15">
      <c r="F2342" t="s">
        <v>2760</v>
      </c>
    </row>
    <row r="2343" spans="6:6" x14ac:dyDescent="0.15">
      <c r="F2343" t="s">
        <v>2761</v>
      </c>
    </row>
    <row r="2344" spans="6:6" x14ac:dyDescent="0.15">
      <c r="F2344" t="s">
        <v>2762</v>
      </c>
    </row>
    <row r="2345" spans="6:6" x14ac:dyDescent="0.15">
      <c r="F2345" t="s">
        <v>2763</v>
      </c>
    </row>
    <row r="2346" spans="6:6" x14ac:dyDescent="0.15">
      <c r="F2346" t="s">
        <v>2764</v>
      </c>
    </row>
    <row r="2347" spans="6:6" x14ac:dyDescent="0.15">
      <c r="F2347" t="s">
        <v>2765</v>
      </c>
    </row>
    <row r="2348" spans="6:6" x14ac:dyDescent="0.15">
      <c r="F2348" t="s">
        <v>2766</v>
      </c>
    </row>
    <row r="2349" spans="6:6" x14ac:dyDescent="0.15">
      <c r="F2349" t="s">
        <v>102</v>
      </c>
    </row>
    <row r="2350" spans="6:6" x14ac:dyDescent="0.15">
      <c r="F2350" t="s">
        <v>2767</v>
      </c>
    </row>
    <row r="2351" spans="6:6" x14ac:dyDescent="0.15">
      <c r="F2351" t="s">
        <v>2768</v>
      </c>
    </row>
    <row r="2352" spans="6:6" x14ac:dyDescent="0.15">
      <c r="F2352" t="s">
        <v>2769</v>
      </c>
    </row>
    <row r="2353" spans="6:6" x14ac:dyDescent="0.15">
      <c r="F2353" t="s">
        <v>2770</v>
      </c>
    </row>
    <row r="2354" spans="6:6" x14ac:dyDescent="0.15">
      <c r="F2354" t="s">
        <v>2771</v>
      </c>
    </row>
    <row r="2355" spans="6:6" x14ac:dyDescent="0.15">
      <c r="F2355" t="s">
        <v>2772</v>
      </c>
    </row>
    <row r="2356" spans="6:6" x14ac:dyDescent="0.15">
      <c r="F2356" t="s">
        <v>2773</v>
      </c>
    </row>
    <row r="2357" spans="6:6" x14ac:dyDescent="0.15">
      <c r="F2357" t="s">
        <v>2774</v>
      </c>
    </row>
    <row r="2358" spans="6:6" x14ac:dyDescent="0.15">
      <c r="F2358" t="s">
        <v>2775</v>
      </c>
    </row>
    <row r="2359" spans="6:6" x14ac:dyDescent="0.15">
      <c r="F2359" t="s">
        <v>2776</v>
      </c>
    </row>
    <row r="2360" spans="6:6" x14ac:dyDescent="0.15">
      <c r="F2360" t="s">
        <v>2777</v>
      </c>
    </row>
    <row r="2361" spans="6:6" x14ac:dyDescent="0.15">
      <c r="F2361" t="s">
        <v>2778</v>
      </c>
    </row>
    <row r="2362" spans="6:6" x14ac:dyDescent="0.15">
      <c r="F2362" t="s">
        <v>2779</v>
      </c>
    </row>
    <row r="2363" spans="6:6" x14ac:dyDescent="0.15">
      <c r="F2363" t="s">
        <v>2780</v>
      </c>
    </row>
    <row r="2364" spans="6:6" x14ac:dyDescent="0.15">
      <c r="F2364" t="s">
        <v>2781</v>
      </c>
    </row>
    <row r="2365" spans="6:6" x14ac:dyDescent="0.15">
      <c r="F2365" t="s">
        <v>2782</v>
      </c>
    </row>
    <row r="2366" spans="6:6" x14ac:dyDescent="0.15">
      <c r="F2366" t="s">
        <v>2783</v>
      </c>
    </row>
    <row r="2367" spans="6:6" x14ac:dyDescent="0.15">
      <c r="F2367" t="s">
        <v>2784</v>
      </c>
    </row>
    <row r="2368" spans="6:6" x14ac:dyDescent="0.15">
      <c r="F2368" t="s">
        <v>2785</v>
      </c>
    </row>
    <row r="2369" spans="6:6" x14ac:dyDescent="0.15">
      <c r="F2369" t="s">
        <v>67</v>
      </c>
    </row>
    <row r="2370" spans="6:6" x14ac:dyDescent="0.15">
      <c r="F2370" t="s">
        <v>2786</v>
      </c>
    </row>
    <row r="2371" spans="6:6" x14ac:dyDescent="0.15">
      <c r="F2371" t="s">
        <v>2787</v>
      </c>
    </row>
    <row r="2372" spans="6:6" x14ac:dyDescent="0.15">
      <c r="F2372" t="s">
        <v>2788</v>
      </c>
    </row>
    <row r="2373" spans="6:6" x14ac:dyDescent="0.15">
      <c r="F2373" t="s">
        <v>2789</v>
      </c>
    </row>
    <row r="2374" spans="6:6" x14ac:dyDescent="0.15">
      <c r="F2374" t="s">
        <v>2790</v>
      </c>
    </row>
    <row r="2375" spans="6:6" x14ac:dyDescent="0.15">
      <c r="F2375" t="s">
        <v>2791</v>
      </c>
    </row>
    <row r="2376" spans="6:6" x14ac:dyDescent="0.15">
      <c r="F2376" t="s">
        <v>2792</v>
      </c>
    </row>
    <row r="2377" spans="6:6" x14ac:dyDescent="0.15">
      <c r="F2377" t="s">
        <v>2793</v>
      </c>
    </row>
    <row r="2378" spans="6:6" x14ac:dyDescent="0.15">
      <c r="F2378" t="s">
        <v>2794</v>
      </c>
    </row>
    <row r="2379" spans="6:6" x14ac:dyDescent="0.15">
      <c r="F2379" t="s">
        <v>2795</v>
      </c>
    </row>
    <row r="2380" spans="6:6" x14ac:dyDescent="0.15">
      <c r="F2380" t="s">
        <v>2796</v>
      </c>
    </row>
    <row r="2381" spans="6:6" x14ac:dyDescent="0.15">
      <c r="F2381" t="s">
        <v>2797</v>
      </c>
    </row>
    <row r="2382" spans="6:6" x14ac:dyDescent="0.15">
      <c r="F2382" t="s">
        <v>2798</v>
      </c>
    </row>
    <row r="2383" spans="6:6" x14ac:dyDescent="0.15">
      <c r="F2383" t="s">
        <v>2799</v>
      </c>
    </row>
    <row r="2384" spans="6:6" x14ac:dyDescent="0.15">
      <c r="F2384" t="s">
        <v>2800</v>
      </c>
    </row>
    <row r="2385" spans="6:6" x14ac:dyDescent="0.15">
      <c r="F2385" t="s">
        <v>2801</v>
      </c>
    </row>
    <row r="2386" spans="6:6" x14ac:dyDescent="0.15">
      <c r="F2386" t="s">
        <v>2802</v>
      </c>
    </row>
    <row r="2387" spans="6:6" x14ac:dyDescent="0.15">
      <c r="F2387" t="s">
        <v>2803</v>
      </c>
    </row>
    <row r="2388" spans="6:6" x14ac:dyDescent="0.15">
      <c r="F2388" t="s">
        <v>2804</v>
      </c>
    </row>
    <row r="2389" spans="6:6" x14ac:dyDescent="0.15">
      <c r="F2389" t="s">
        <v>2805</v>
      </c>
    </row>
    <row r="2390" spans="6:6" x14ac:dyDescent="0.15">
      <c r="F2390" t="s">
        <v>2806</v>
      </c>
    </row>
    <row r="2391" spans="6:6" x14ac:dyDescent="0.15">
      <c r="F2391" t="s">
        <v>2807</v>
      </c>
    </row>
    <row r="2392" spans="6:6" x14ac:dyDescent="0.15">
      <c r="F2392" t="s">
        <v>2808</v>
      </c>
    </row>
    <row r="2393" spans="6:6" x14ac:dyDescent="0.15">
      <c r="F2393" t="s">
        <v>2809</v>
      </c>
    </row>
    <row r="2394" spans="6:6" x14ac:dyDescent="0.15">
      <c r="F2394" t="s">
        <v>2810</v>
      </c>
    </row>
    <row r="2395" spans="6:6" x14ac:dyDescent="0.15">
      <c r="F2395" t="s">
        <v>2811</v>
      </c>
    </row>
    <row r="2396" spans="6:6" x14ac:dyDescent="0.15">
      <c r="F2396" t="s">
        <v>2812</v>
      </c>
    </row>
    <row r="2397" spans="6:6" x14ac:dyDescent="0.15">
      <c r="F2397" t="s">
        <v>2813</v>
      </c>
    </row>
    <row r="2398" spans="6:6" x14ac:dyDescent="0.15">
      <c r="F2398" t="s">
        <v>2814</v>
      </c>
    </row>
    <row r="2399" spans="6:6" x14ac:dyDescent="0.15">
      <c r="F2399" t="s">
        <v>2815</v>
      </c>
    </row>
    <row r="2400" spans="6:6" x14ac:dyDescent="0.15">
      <c r="F2400" t="s">
        <v>2816</v>
      </c>
    </row>
    <row r="2401" spans="6:6" x14ac:dyDescent="0.15">
      <c r="F2401" t="s">
        <v>2817</v>
      </c>
    </row>
    <row r="2402" spans="6:6" x14ac:dyDescent="0.15">
      <c r="F2402" t="s">
        <v>2818</v>
      </c>
    </row>
    <row r="2403" spans="6:6" x14ac:dyDescent="0.15">
      <c r="F2403" t="s">
        <v>2819</v>
      </c>
    </row>
    <row r="2404" spans="6:6" x14ac:dyDescent="0.15">
      <c r="F2404" t="s">
        <v>2820</v>
      </c>
    </row>
    <row r="2405" spans="6:6" x14ac:dyDescent="0.15">
      <c r="F2405" t="s">
        <v>2821</v>
      </c>
    </row>
    <row r="2406" spans="6:6" x14ac:dyDescent="0.15">
      <c r="F2406" t="s">
        <v>2822</v>
      </c>
    </row>
    <row r="2407" spans="6:6" x14ac:dyDescent="0.15">
      <c r="F2407" t="s">
        <v>2823</v>
      </c>
    </row>
    <row r="2408" spans="6:6" x14ac:dyDescent="0.15">
      <c r="F2408" t="s">
        <v>2824</v>
      </c>
    </row>
    <row r="2409" spans="6:6" x14ac:dyDescent="0.15">
      <c r="F2409" t="s">
        <v>2825</v>
      </c>
    </row>
    <row r="2410" spans="6:6" x14ac:dyDescent="0.15">
      <c r="F2410" t="s">
        <v>2826</v>
      </c>
    </row>
    <row r="2411" spans="6:6" x14ac:dyDescent="0.15">
      <c r="F2411" t="s">
        <v>2827</v>
      </c>
    </row>
    <row r="2412" spans="6:6" x14ac:dyDescent="0.15">
      <c r="F2412" t="s">
        <v>2828</v>
      </c>
    </row>
    <row r="2413" spans="6:6" x14ac:dyDescent="0.15">
      <c r="F2413" t="s">
        <v>2829</v>
      </c>
    </row>
    <row r="2414" spans="6:6" x14ac:dyDescent="0.15">
      <c r="F2414" t="s">
        <v>2830</v>
      </c>
    </row>
    <row r="2415" spans="6:6" x14ac:dyDescent="0.15">
      <c r="F2415" t="s">
        <v>2831</v>
      </c>
    </row>
    <row r="2416" spans="6:6" x14ac:dyDescent="0.15">
      <c r="F2416" t="s">
        <v>2832</v>
      </c>
    </row>
    <row r="2417" spans="6:6" x14ac:dyDescent="0.15">
      <c r="F2417" t="s">
        <v>2833</v>
      </c>
    </row>
    <row r="2418" spans="6:6" x14ac:dyDescent="0.15">
      <c r="F2418" t="s">
        <v>2834</v>
      </c>
    </row>
    <row r="2419" spans="6:6" x14ac:dyDescent="0.15">
      <c r="F2419" t="s">
        <v>2835</v>
      </c>
    </row>
    <row r="2420" spans="6:6" x14ac:dyDescent="0.15">
      <c r="F2420" t="s">
        <v>2836</v>
      </c>
    </row>
    <row r="2421" spans="6:6" x14ac:dyDescent="0.15">
      <c r="F2421" t="s">
        <v>2837</v>
      </c>
    </row>
  </sheetData>
  <phoneticPr fontId="19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K331"/>
  <sheetViews>
    <sheetView topLeftCell="H9" zoomScale="130" zoomScaleNormal="130" zoomScalePageLayoutView="130" workbookViewId="0">
      <selection activeCell="J24" sqref="J24:J31"/>
    </sheetView>
  </sheetViews>
  <sheetFormatPr baseColWidth="10" defaultColWidth="8.83203125" defaultRowHeight="13" x14ac:dyDescent="0.15"/>
  <cols>
    <col min="1" max="1" width="5.5" bestFit="1" customWidth="1"/>
    <col min="2" max="2" width="13.33203125" bestFit="1" customWidth="1"/>
    <col min="3" max="3" width="9" bestFit="1" customWidth="1"/>
    <col min="4" max="4" width="13.6640625" bestFit="1" customWidth="1"/>
    <col min="5" max="5" width="24.5" style="2" bestFit="1" customWidth="1"/>
    <col min="6" max="6" width="15.1640625" bestFit="1" customWidth="1"/>
    <col min="7" max="7" width="19.5" bestFit="1" customWidth="1"/>
    <col min="9" max="9" width="11.1640625" bestFit="1" customWidth="1"/>
    <col min="10" max="10" width="59.5" bestFit="1" customWidth="1"/>
    <col min="11" max="11" width="9.5" customWidth="1"/>
  </cols>
  <sheetData>
    <row r="1" spans="1:9" x14ac:dyDescent="0.15">
      <c r="A1" t="s">
        <v>4104</v>
      </c>
      <c r="B1" t="s">
        <v>4105</v>
      </c>
      <c r="C1" t="s">
        <v>4535</v>
      </c>
      <c r="D1" t="s">
        <v>4106</v>
      </c>
      <c r="E1" s="2" t="s">
        <v>4107</v>
      </c>
      <c r="F1" t="s">
        <v>4108</v>
      </c>
      <c r="G1" t="s">
        <v>4221</v>
      </c>
      <c r="H1" t="s">
        <v>4125</v>
      </c>
    </row>
    <row r="2" spans="1:9" x14ac:dyDescent="0.15">
      <c r="A2" t="s">
        <v>4285</v>
      </c>
      <c r="B2" t="str">
        <f ca="1">r_choice(Table3[ID])</f>
        <v>C16</v>
      </c>
      <c r="C2" t="str">
        <f ca="1">r_choice(Table10[ID])</f>
        <v>G18</v>
      </c>
      <c r="D2" t="str">
        <f ca="1">r_choice(EXCURSION!$A$2:$A$21)</f>
        <v>E11</v>
      </c>
      <c r="E2" s="2">
        <f t="shared" ref="E2:E65" ca="1" si="0">r_date(2015,1,2016,1)</f>
        <v>42239</v>
      </c>
      <c r="F2">
        <f ca="1">r_integer(1,6)</f>
        <v>4</v>
      </c>
      <c r="G2" t="str">
        <f t="shared" ref="G2:G65" ca="1" si="1">r_choice($I$9:$I$15)</f>
        <v>Pets Allowed</v>
      </c>
      <c r="H2" s="3" t="str">
        <f ca="1">r_choice(Table6[ID])</f>
        <v>B</v>
      </c>
    </row>
    <row r="3" spans="1:9" x14ac:dyDescent="0.15">
      <c r="A3" t="s">
        <v>4286</v>
      </c>
      <c r="B3" t="str">
        <f ca="1">r_choice(Table3[ID])</f>
        <v>C84</v>
      </c>
      <c r="C3" t="str">
        <f ca="1">r_choice(Table10[ID])</f>
        <v>G17</v>
      </c>
      <c r="D3" t="str">
        <f ca="1">r_choice(EXCURSION!$A$2:$A$21)</f>
        <v>E15</v>
      </c>
      <c r="E3" s="2">
        <f t="shared" ca="1" si="0"/>
        <v>42364</v>
      </c>
      <c r="F3">
        <f t="shared" ref="F3:F65" ca="1" si="2">r_integer(1,6)</f>
        <v>3</v>
      </c>
      <c r="G3" t="str">
        <f t="shared" ca="1" si="1"/>
        <v>Child Proof</v>
      </c>
      <c r="H3" s="3" t="str">
        <f ca="1">r_choice(Table6[ID])</f>
        <v>P</v>
      </c>
    </row>
    <row r="4" spans="1:9" x14ac:dyDescent="0.15">
      <c r="A4" t="s">
        <v>4287</v>
      </c>
      <c r="B4" t="str">
        <f ca="1">r_choice(Table3[ID])</f>
        <v>C81</v>
      </c>
      <c r="C4" t="str">
        <f ca="1">r_choice(Table10[ID])</f>
        <v>G25</v>
      </c>
      <c r="D4" t="str">
        <f ca="1">r_choice(EXCURSION!$A$2:$A$21)</f>
        <v>E18</v>
      </c>
      <c r="E4" s="2">
        <f t="shared" ca="1" si="0"/>
        <v>42176</v>
      </c>
      <c r="F4">
        <f t="shared" ca="1" si="2"/>
        <v>6</v>
      </c>
      <c r="G4" t="str">
        <f t="shared" ca="1" si="1"/>
        <v>Vegeterian</v>
      </c>
      <c r="H4" s="3" t="str">
        <f ca="1">r_choice(Table6[ID])</f>
        <v>S</v>
      </c>
    </row>
    <row r="5" spans="1:9" x14ac:dyDescent="0.15">
      <c r="A5" t="s">
        <v>4288</v>
      </c>
      <c r="B5" t="str">
        <f ca="1">r_choice(Table3[ID])</f>
        <v>C85</v>
      </c>
      <c r="C5" t="str">
        <f ca="1">r_choice(Table10[ID])</f>
        <v>G05</v>
      </c>
      <c r="D5" t="str">
        <f ca="1">r_choice(EXCURSION!$A$2:$A$21)</f>
        <v>E05</v>
      </c>
      <c r="E5" s="2">
        <f t="shared" ca="1" si="0"/>
        <v>42294</v>
      </c>
      <c r="F5">
        <f t="shared" ca="1" si="2"/>
        <v>2</v>
      </c>
      <c r="G5" t="str">
        <f t="shared" ca="1" si="1"/>
        <v>Pets Allowed</v>
      </c>
      <c r="H5" s="3" t="str">
        <f ca="1">r_choice(Table6[ID])</f>
        <v>G</v>
      </c>
    </row>
    <row r="6" spans="1:9" x14ac:dyDescent="0.15">
      <c r="A6" t="s">
        <v>4289</v>
      </c>
      <c r="B6" t="str">
        <f ca="1">r_choice(Table3[ID])</f>
        <v>C20</v>
      </c>
      <c r="C6" t="str">
        <f ca="1">r_choice(Table10[ID])</f>
        <v>G04</v>
      </c>
      <c r="D6" t="str">
        <f ca="1">r_choice(EXCURSION!$A$2:$A$21)</f>
        <v>E20</v>
      </c>
      <c r="E6" s="2">
        <f t="shared" ca="1" si="0"/>
        <v>42187</v>
      </c>
      <c r="F6">
        <f t="shared" ca="1" si="2"/>
        <v>3</v>
      </c>
      <c r="G6" t="str">
        <f t="shared" ca="1" si="1"/>
        <v>Hendicaped</v>
      </c>
      <c r="H6" s="3" t="str">
        <f ca="1">r_choice(Table6[ID])</f>
        <v>B</v>
      </c>
    </row>
    <row r="7" spans="1:9" x14ac:dyDescent="0.15">
      <c r="A7" t="s">
        <v>4290</v>
      </c>
      <c r="B7" t="str">
        <f ca="1">r_choice(Table3[ID])</f>
        <v>C49</v>
      </c>
      <c r="C7" t="str">
        <f ca="1">r_choice(Table10[ID])</f>
        <v>G24</v>
      </c>
      <c r="D7" t="str">
        <f ca="1">r_choice(EXCURSION!$A$2:$A$21)</f>
        <v>E05</v>
      </c>
      <c r="E7" s="2">
        <f t="shared" ca="1" si="0"/>
        <v>42287</v>
      </c>
      <c r="F7">
        <f t="shared" ca="1" si="2"/>
        <v>2</v>
      </c>
      <c r="G7" t="str">
        <f t="shared" ca="1" si="1"/>
        <v>None</v>
      </c>
      <c r="H7" s="3" t="str">
        <f ca="1">r_choice(Table6[ID])</f>
        <v>G</v>
      </c>
    </row>
    <row r="8" spans="1:9" x14ac:dyDescent="0.15">
      <c r="A8" t="s">
        <v>4291</v>
      </c>
      <c r="B8" t="str">
        <f ca="1">r_choice(Table3[ID])</f>
        <v>C26</v>
      </c>
      <c r="C8" t="str">
        <f ca="1">r_choice(Table10[ID])</f>
        <v>G05</v>
      </c>
      <c r="D8" t="str">
        <f ca="1">r_choice(EXCURSION!$A$2:$A$21)</f>
        <v>E09</v>
      </c>
      <c r="E8" s="2">
        <f t="shared" ca="1" si="0"/>
        <v>42102</v>
      </c>
      <c r="F8">
        <f t="shared" ca="1" si="2"/>
        <v>3</v>
      </c>
      <c r="G8" t="str">
        <f t="shared" ca="1" si="1"/>
        <v>Hendicaped</v>
      </c>
      <c r="H8" s="3" t="str">
        <f ca="1">r_choice(Table6[ID])</f>
        <v>P</v>
      </c>
      <c r="I8" t="s">
        <v>4725</v>
      </c>
    </row>
    <row r="9" spans="1:9" x14ac:dyDescent="0.15">
      <c r="A9" t="s">
        <v>4292</v>
      </c>
      <c r="B9" t="str">
        <f ca="1">r_choice(Table3[ID])</f>
        <v>C58</v>
      </c>
      <c r="C9" t="str">
        <f ca="1">r_choice(Table10[ID])</f>
        <v>G14</v>
      </c>
      <c r="D9" t="str">
        <f ca="1">r_choice(EXCURSION!$A$2:$A$21)</f>
        <v>E09</v>
      </c>
      <c r="E9" s="2">
        <f t="shared" ca="1" si="0"/>
        <v>42115</v>
      </c>
      <c r="F9">
        <f t="shared" ca="1" si="2"/>
        <v>4</v>
      </c>
      <c r="G9" t="str">
        <f t="shared" ca="1" si="1"/>
        <v>Pets Allowed</v>
      </c>
      <c r="H9" s="3" t="str">
        <f ca="1">r_choice(Table6[ID])</f>
        <v>B</v>
      </c>
      <c r="I9" t="s">
        <v>4536</v>
      </c>
    </row>
    <row r="10" spans="1:9" x14ac:dyDescent="0.15">
      <c r="A10" t="s">
        <v>4293</v>
      </c>
      <c r="B10" t="str">
        <f ca="1">r_choice(Table3[ID])</f>
        <v>C71</v>
      </c>
      <c r="C10" t="str">
        <f ca="1">r_choice(Table10[ID])</f>
        <v>G21</v>
      </c>
      <c r="D10" t="str">
        <f ca="1">r_choice(EXCURSION!$A$2:$A$21)</f>
        <v>E07</v>
      </c>
      <c r="E10" s="2">
        <f t="shared" ca="1" si="0"/>
        <v>42130</v>
      </c>
      <c r="F10">
        <f t="shared" ca="1" si="2"/>
        <v>1</v>
      </c>
      <c r="G10" t="str">
        <f t="shared" ca="1" si="1"/>
        <v>Quiet Floor</v>
      </c>
      <c r="H10" s="3" t="str">
        <f ca="1">r_choice(Table6[ID])</f>
        <v>G</v>
      </c>
      <c r="I10" t="s">
        <v>4537</v>
      </c>
    </row>
    <row r="11" spans="1:9" x14ac:dyDescent="0.15">
      <c r="A11" t="s">
        <v>4294</v>
      </c>
      <c r="B11" t="str">
        <f ca="1">r_choice(Table3[ID])</f>
        <v>C90</v>
      </c>
      <c r="C11" t="str">
        <f ca="1">r_choice(Table10[ID])</f>
        <v>G14</v>
      </c>
      <c r="D11" t="str">
        <f ca="1">r_choice(EXCURSION!$A$2:$A$21)</f>
        <v>E18</v>
      </c>
      <c r="E11" s="2">
        <f t="shared" ca="1" si="0"/>
        <v>42249</v>
      </c>
      <c r="F11">
        <f t="shared" ca="1" si="2"/>
        <v>5</v>
      </c>
      <c r="G11" t="str">
        <f t="shared" ca="1" si="1"/>
        <v>Non Smoking</v>
      </c>
      <c r="H11" s="3" t="str">
        <f ca="1">r_choice(Table6[ID])</f>
        <v>G</v>
      </c>
      <c r="I11" t="s">
        <v>4173</v>
      </c>
    </row>
    <row r="12" spans="1:9" x14ac:dyDescent="0.15">
      <c r="A12" t="s">
        <v>4295</v>
      </c>
      <c r="B12" t="str">
        <f ca="1">r_choice(Table3[ID])</f>
        <v>C53</v>
      </c>
      <c r="C12" t="str">
        <f ca="1">r_choice(Table10[ID])</f>
        <v>G05</v>
      </c>
      <c r="D12" t="str">
        <f ca="1">r_choice(EXCURSION!$A$2:$A$21)</f>
        <v>E15</v>
      </c>
      <c r="E12" s="2">
        <f t="shared" ca="1" si="0"/>
        <v>42102</v>
      </c>
      <c r="F12">
        <f t="shared" ca="1" si="2"/>
        <v>4</v>
      </c>
      <c r="G12" t="str">
        <f t="shared" ca="1" si="1"/>
        <v>Non Smoking</v>
      </c>
      <c r="H12" s="3" t="str">
        <f ca="1">r_choice(Table6[ID])</f>
        <v>S</v>
      </c>
      <c r="I12" t="s">
        <v>4538</v>
      </c>
    </row>
    <row r="13" spans="1:9" x14ac:dyDescent="0.15">
      <c r="A13" t="s">
        <v>4296</v>
      </c>
      <c r="B13" t="str">
        <f ca="1">r_choice(Table3[ID])</f>
        <v>C14</v>
      </c>
      <c r="C13" t="str">
        <f ca="1">r_choice(Table10[ID])</f>
        <v>G03</v>
      </c>
      <c r="D13" t="str">
        <f ca="1">r_choice(EXCURSION!$A$2:$A$21)</f>
        <v>E06</v>
      </c>
      <c r="E13" s="2">
        <f t="shared" ca="1" si="0"/>
        <v>42331</v>
      </c>
      <c r="F13">
        <f t="shared" ca="1" si="2"/>
        <v>5</v>
      </c>
      <c r="G13" t="str">
        <f t="shared" ca="1" si="1"/>
        <v>Vegeterian</v>
      </c>
      <c r="H13" s="3" t="str">
        <f ca="1">r_choice(Table6[ID])</f>
        <v>G</v>
      </c>
      <c r="I13" t="s">
        <v>4539</v>
      </c>
    </row>
    <row r="14" spans="1:9" x14ac:dyDescent="0.15">
      <c r="A14" t="s">
        <v>4297</v>
      </c>
      <c r="B14" t="str">
        <f ca="1">r_choice(Table3[ID])</f>
        <v>C41</v>
      </c>
      <c r="C14" t="str">
        <f ca="1">r_choice(Table10[ID])</f>
        <v>G24</v>
      </c>
      <c r="D14" t="str">
        <f ca="1">r_choice(EXCURSION!$A$2:$A$21)</f>
        <v>E08</v>
      </c>
      <c r="E14" s="2">
        <f t="shared" ca="1" si="0"/>
        <v>42178</v>
      </c>
      <c r="F14">
        <f t="shared" ca="1" si="2"/>
        <v>3</v>
      </c>
      <c r="G14" t="str">
        <f t="shared" ca="1" si="1"/>
        <v>Non Smoking</v>
      </c>
      <c r="H14" s="3" t="str">
        <f ca="1">r_choice(Table6[ID])</f>
        <v>B</v>
      </c>
      <c r="I14" t="s">
        <v>4676</v>
      </c>
    </row>
    <row r="15" spans="1:9" x14ac:dyDescent="0.15">
      <c r="A15" t="s">
        <v>4298</v>
      </c>
      <c r="B15" t="str">
        <f ca="1">r_choice(Table3[ID])</f>
        <v>C94</v>
      </c>
      <c r="C15" t="str">
        <f ca="1">r_choice(Table10[ID])</f>
        <v>G13</v>
      </c>
      <c r="D15" t="str">
        <f ca="1">r_choice(EXCURSION!$A$2:$A$21)</f>
        <v>E02</v>
      </c>
      <c r="E15" s="2">
        <f t="shared" ca="1" si="0"/>
        <v>42123</v>
      </c>
      <c r="F15">
        <f t="shared" ca="1" si="2"/>
        <v>1</v>
      </c>
      <c r="G15" t="str">
        <f t="shared" ca="1" si="1"/>
        <v>Quiet Floor</v>
      </c>
      <c r="H15" s="3" t="str">
        <f ca="1">r_choice(Table6[ID])</f>
        <v>G</v>
      </c>
      <c r="I15" t="s">
        <v>4540</v>
      </c>
    </row>
    <row r="16" spans="1:9" x14ac:dyDescent="0.15">
      <c r="A16" t="s">
        <v>4299</v>
      </c>
      <c r="B16" t="str">
        <f ca="1">r_choice(Table3[ID])</f>
        <v>C79</v>
      </c>
      <c r="C16" t="str">
        <f ca="1">r_choice(Table10[ID])</f>
        <v>G16</v>
      </c>
      <c r="D16" t="str">
        <f ca="1">r_choice(EXCURSION!$A$2:$A$21)</f>
        <v>E12</v>
      </c>
      <c r="E16" s="2">
        <f t="shared" ca="1" si="0"/>
        <v>42057</v>
      </c>
      <c r="F16">
        <f t="shared" ca="1" si="2"/>
        <v>1</v>
      </c>
      <c r="G16" t="str">
        <f t="shared" ca="1" si="1"/>
        <v>Vegeterian</v>
      </c>
      <c r="H16" s="3" t="str">
        <f ca="1">r_choice(Table6[ID])</f>
        <v>P</v>
      </c>
    </row>
    <row r="17" spans="1:11" x14ac:dyDescent="0.15">
      <c r="A17" t="s">
        <v>4300</v>
      </c>
      <c r="B17" t="str">
        <f ca="1">r_choice(Table3[ID])</f>
        <v>C66</v>
      </c>
      <c r="C17" t="str">
        <f ca="1">r_choice(Table10[ID])</f>
        <v>G25</v>
      </c>
      <c r="D17" t="str">
        <f ca="1">r_choice(EXCURSION!$A$2:$A$21)</f>
        <v>E02</v>
      </c>
      <c r="E17" s="2">
        <f t="shared" ca="1" si="0"/>
        <v>42152</v>
      </c>
      <c r="F17">
        <f t="shared" ca="1" si="2"/>
        <v>1</v>
      </c>
      <c r="G17" t="str">
        <f t="shared" ca="1" si="1"/>
        <v>Pets Allowed</v>
      </c>
      <c r="H17" s="3" t="str">
        <f ca="1">r_choice(Table6[ID])</f>
        <v>B</v>
      </c>
    </row>
    <row r="18" spans="1:11" x14ac:dyDescent="0.15">
      <c r="A18" t="s">
        <v>4301</v>
      </c>
      <c r="B18" t="str">
        <f ca="1">r_choice(Table3[ID])</f>
        <v>C40</v>
      </c>
      <c r="C18" t="str">
        <f ca="1">r_choice(Table10[ID])</f>
        <v>G25</v>
      </c>
      <c r="D18" t="str">
        <f ca="1">r_choice(EXCURSION!$A$2:$A$21)</f>
        <v>E08</v>
      </c>
      <c r="E18" s="2">
        <f t="shared" ca="1" si="0"/>
        <v>42266</v>
      </c>
      <c r="F18">
        <f t="shared" ca="1" si="2"/>
        <v>4</v>
      </c>
      <c r="G18" t="str">
        <f t="shared" ca="1" si="1"/>
        <v>Vegeterian</v>
      </c>
      <c r="H18" s="3" t="str">
        <f ca="1">r_choice(Table6[ID])</f>
        <v>B</v>
      </c>
    </row>
    <row r="19" spans="1:11" x14ac:dyDescent="0.15">
      <c r="A19" t="s">
        <v>4302</v>
      </c>
      <c r="B19" t="str">
        <f ca="1">r_choice(Table3[ID])</f>
        <v>C70</v>
      </c>
      <c r="C19" t="str">
        <f ca="1">r_choice(Table10[ID])</f>
        <v>G24</v>
      </c>
      <c r="D19" t="str">
        <f ca="1">r_choice(EXCURSION!$A$2:$A$21)</f>
        <v>E11</v>
      </c>
      <c r="E19" s="2">
        <f t="shared" ca="1" si="0"/>
        <v>42087</v>
      </c>
      <c r="F19">
        <f t="shared" ca="1" si="2"/>
        <v>6</v>
      </c>
      <c r="G19" t="str">
        <f t="shared" ca="1" si="1"/>
        <v>Vegeterian</v>
      </c>
      <c r="H19" s="3" t="str">
        <f ca="1">r_choice(Table6[ID])</f>
        <v>P</v>
      </c>
    </row>
    <row r="20" spans="1:11" x14ac:dyDescent="0.15">
      <c r="A20" t="s">
        <v>4303</v>
      </c>
      <c r="B20" t="str">
        <f ca="1">r_choice(Table3[ID])</f>
        <v>C90</v>
      </c>
      <c r="C20" t="str">
        <f ca="1">r_choice(Table10[ID])</f>
        <v>G22</v>
      </c>
      <c r="D20" t="str">
        <f ca="1">r_choice(EXCURSION!$A$2:$A$21)</f>
        <v>E05</v>
      </c>
      <c r="E20" s="2">
        <f t="shared" ca="1" si="0"/>
        <v>42396</v>
      </c>
      <c r="F20">
        <f t="shared" ca="1" si="2"/>
        <v>6</v>
      </c>
      <c r="G20" t="str">
        <f t="shared" ca="1" si="1"/>
        <v>Hendicaped</v>
      </c>
      <c r="H20" s="3" t="str">
        <f ca="1">r_choice(Table6[ID])</f>
        <v>P</v>
      </c>
    </row>
    <row r="21" spans="1:11" x14ac:dyDescent="0.15">
      <c r="A21" t="s">
        <v>4304</v>
      </c>
      <c r="B21" t="str">
        <f ca="1">r_choice(Table3[ID])</f>
        <v>C68</v>
      </c>
      <c r="C21" t="str">
        <f ca="1">r_choice(Table10[ID])</f>
        <v>G11</v>
      </c>
      <c r="D21" t="str">
        <f ca="1">r_choice(EXCURSION!$A$2:$A$21)</f>
        <v>E17</v>
      </c>
      <c r="E21" s="2">
        <f t="shared" ca="1" si="0"/>
        <v>42374</v>
      </c>
      <c r="F21">
        <f t="shared" ca="1" si="2"/>
        <v>5</v>
      </c>
      <c r="G21" t="str">
        <f t="shared" ca="1" si="1"/>
        <v>Child Proof</v>
      </c>
      <c r="H21" s="3" t="str">
        <f ca="1">r_choice(Table6[ID])</f>
        <v>B</v>
      </c>
    </row>
    <row r="22" spans="1:11" x14ac:dyDescent="0.15">
      <c r="A22" t="s">
        <v>4305</v>
      </c>
      <c r="B22" t="str">
        <f ca="1">r_choice(Table3[ID])</f>
        <v>C15</v>
      </c>
      <c r="C22" t="str">
        <f ca="1">r_choice(Table10[ID])</f>
        <v>G06</v>
      </c>
      <c r="D22" t="str">
        <f ca="1">r_choice(EXCURSION!$A$2:$A$21)</f>
        <v>E09</v>
      </c>
      <c r="E22" s="2">
        <f t="shared" ca="1" si="0"/>
        <v>42186</v>
      </c>
      <c r="F22">
        <f t="shared" ca="1" si="2"/>
        <v>4</v>
      </c>
      <c r="G22" t="str">
        <f t="shared" ca="1" si="1"/>
        <v>Non Smoking</v>
      </c>
      <c r="H22" s="3" t="str">
        <f ca="1">r_choice(Table6[ID])</f>
        <v>B</v>
      </c>
    </row>
    <row r="23" spans="1:11" x14ac:dyDescent="0.15">
      <c r="A23" t="s">
        <v>4306</v>
      </c>
      <c r="B23" t="str">
        <f ca="1">r_choice(Table3[ID])</f>
        <v>C75</v>
      </c>
      <c r="C23" t="str">
        <f ca="1">r_choice(Table10[ID])</f>
        <v>G13</v>
      </c>
      <c r="D23" t="str">
        <f ca="1">r_choice(EXCURSION!$A$2:$A$21)</f>
        <v>E03</v>
      </c>
      <c r="E23" s="2">
        <f t="shared" ca="1" si="0"/>
        <v>42024</v>
      </c>
      <c r="F23">
        <f t="shared" ca="1" si="2"/>
        <v>2</v>
      </c>
      <c r="G23" t="str">
        <f t="shared" ca="1" si="1"/>
        <v>Non Smoking</v>
      </c>
      <c r="H23" s="3" t="str">
        <f ca="1">r_choice(Table6[ID])</f>
        <v>S</v>
      </c>
      <c r="J23" t="s">
        <v>4723</v>
      </c>
      <c r="K23" t="s">
        <v>4724</v>
      </c>
    </row>
    <row r="24" spans="1:11" x14ac:dyDescent="0.15">
      <c r="A24" t="s">
        <v>4307</v>
      </c>
      <c r="B24" t="str">
        <f ca="1">r_choice(Table3[ID])</f>
        <v>C36</v>
      </c>
      <c r="C24" t="str">
        <f ca="1">r_choice(Table10[ID])</f>
        <v>G10</v>
      </c>
      <c r="D24" t="str">
        <f ca="1">r_choice(EXCURSION!$A$2:$A$21)</f>
        <v>E05</v>
      </c>
      <c r="E24" s="2">
        <f t="shared" ca="1" si="0"/>
        <v>42323</v>
      </c>
      <c r="F24">
        <f t="shared" ca="1" si="2"/>
        <v>2</v>
      </c>
      <c r="G24" t="str">
        <f t="shared" ca="1" si="1"/>
        <v>Quiet Floor</v>
      </c>
      <c r="H24" s="3" t="str">
        <f ca="1">r_choice(Table6[ID])</f>
        <v>S</v>
      </c>
      <c r="J24" t="s">
        <v>4709</v>
      </c>
      <c r="K24" t="s">
        <v>4690</v>
      </c>
    </row>
    <row r="25" spans="1:11" x14ac:dyDescent="0.15">
      <c r="A25" t="s">
        <v>4308</v>
      </c>
      <c r="B25" t="str">
        <f ca="1">r_choice(Table3[ID])</f>
        <v>C62</v>
      </c>
      <c r="C25" t="str">
        <f ca="1">r_choice(Table10[ID])</f>
        <v>G13</v>
      </c>
      <c r="D25" t="str">
        <f ca="1">r_choice(EXCURSION!$A$2:$A$21)</f>
        <v>E16</v>
      </c>
      <c r="E25" s="2">
        <f t="shared" ca="1" si="0"/>
        <v>42022</v>
      </c>
      <c r="F25">
        <f t="shared" ca="1" si="2"/>
        <v>3</v>
      </c>
      <c r="G25" t="str">
        <f t="shared" ca="1" si="1"/>
        <v>Non Smoking</v>
      </c>
      <c r="H25" s="3" t="str">
        <f ca="1">r_choice(Table6[ID])</f>
        <v>B</v>
      </c>
      <c r="J25" t="s">
        <v>4697</v>
      </c>
      <c r="K25" t="s">
        <v>4690</v>
      </c>
    </row>
    <row r="26" spans="1:11" x14ac:dyDescent="0.15">
      <c r="A26" t="s">
        <v>4309</v>
      </c>
      <c r="B26" t="str">
        <f ca="1">r_choice(Table3[ID])</f>
        <v>C29</v>
      </c>
      <c r="C26" t="str">
        <f ca="1">r_choice(Table10[ID])</f>
        <v>G11</v>
      </c>
      <c r="D26" t="str">
        <f ca="1">r_choice(EXCURSION!$A$2:$A$21)</f>
        <v>E20</v>
      </c>
      <c r="E26" s="2">
        <f t="shared" ca="1" si="0"/>
        <v>42179</v>
      </c>
      <c r="F26">
        <f t="shared" ca="1" si="2"/>
        <v>1</v>
      </c>
      <c r="G26" t="str">
        <f t="shared" ca="1" si="1"/>
        <v>None</v>
      </c>
      <c r="H26" s="3" t="str">
        <f ca="1">r_choice(Table6[ID])</f>
        <v>B</v>
      </c>
      <c r="J26" t="s">
        <v>4702</v>
      </c>
      <c r="K26" t="s">
        <v>4690</v>
      </c>
    </row>
    <row r="27" spans="1:11" x14ac:dyDescent="0.15">
      <c r="A27" t="s">
        <v>4310</v>
      </c>
      <c r="B27" t="str">
        <f ca="1">r_choice(Table3[ID])</f>
        <v>C24</v>
      </c>
      <c r="C27" t="str">
        <f ca="1">r_choice(Table10[ID])</f>
        <v>G21</v>
      </c>
      <c r="D27" t="str">
        <f ca="1">r_choice(EXCURSION!$A$2:$A$21)</f>
        <v>E04</v>
      </c>
      <c r="E27" s="2">
        <f t="shared" ca="1" si="0"/>
        <v>42125</v>
      </c>
      <c r="F27">
        <f t="shared" ca="1" si="2"/>
        <v>3</v>
      </c>
      <c r="G27" t="str">
        <f t="shared" ca="1" si="1"/>
        <v>Child Proof</v>
      </c>
      <c r="H27" s="3" t="str">
        <f ca="1">r_choice(Table6[ID])</f>
        <v>B</v>
      </c>
      <c r="J27" t="s">
        <v>4683</v>
      </c>
      <c r="K27" t="s">
        <v>4690</v>
      </c>
    </row>
    <row r="28" spans="1:11" x14ac:dyDescent="0.15">
      <c r="A28" t="s">
        <v>4311</v>
      </c>
      <c r="B28" t="str">
        <f ca="1">r_choice(Table3[ID])</f>
        <v>C38</v>
      </c>
      <c r="C28" t="str">
        <f ca="1">r_choice(Table10[ID])</f>
        <v>G05</v>
      </c>
      <c r="D28" t="str">
        <f ca="1">r_choice(EXCURSION!$A$2:$A$21)</f>
        <v>E13</v>
      </c>
      <c r="E28" s="2">
        <f t="shared" ca="1" si="0"/>
        <v>42379</v>
      </c>
      <c r="F28">
        <f t="shared" ca="1" si="2"/>
        <v>1</v>
      </c>
      <c r="G28" t="str">
        <f t="shared" ca="1" si="1"/>
        <v>Quiet Floor</v>
      </c>
      <c r="H28" s="3" t="str">
        <f ca="1">r_choice(Table6[ID])</f>
        <v>B</v>
      </c>
      <c r="J28" t="s">
        <v>4710</v>
      </c>
      <c r="K28" t="s">
        <v>4707</v>
      </c>
    </row>
    <row r="29" spans="1:11" x14ac:dyDescent="0.15">
      <c r="A29" t="s">
        <v>4312</v>
      </c>
      <c r="B29" t="str">
        <f ca="1">r_choice(Table3[ID])</f>
        <v>C26</v>
      </c>
      <c r="C29" t="str">
        <f ca="1">r_choice(Table10[ID])</f>
        <v>G15</v>
      </c>
      <c r="D29" t="str">
        <f ca="1">r_choice(EXCURSION!$A$2:$A$21)</f>
        <v>E19</v>
      </c>
      <c r="E29" s="2">
        <f t="shared" ca="1" si="0"/>
        <v>42103</v>
      </c>
      <c r="F29">
        <f t="shared" ca="1" si="2"/>
        <v>3</v>
      </c>
      <c r="G29" t="str">
        <f t="shared" ca="1" si="1"/>
        <v>Hendicaped</v>
      </c>
      <c r="H29" s="3" t="str">
        <f ca="1">r_choice(Table6[ID])</f>
        <v>P</v>
      </c>
      <c r="J29" t="s">
        <v>4711</v>
      </c>
      <c r="K29" t="s">
        <v>4691</v>
      </c>
    </row>
    <row r="30" spans="1:11" x14ac:dyDescent="0.15">
      <c r="A30" t="s">
        <v>4313</v>
      </c>
      <c r="B30" t="str">
        <f ca="1">r_choice(Table3[ID])</f>
        <v>C80</v>
      </c>
      <c r="C30" t="str">
        <f ca="1">r_choice(Table10[ID])</f>
        <v>G04</v>
      </c>
      <c r="D30" t="str">
        <f ca="1">r_choice(EXCURSION!$A$2:$A$21)</f>
        <v>E08</v>
      </c>
      <c r="E30" s="2">
        <f t="shared" ca="1" si="0"/>
        <v>42346</v>
      </c>
      <c r="F30">
        <f t="shared" ca="1" si="2"/>
        <v>5</v>
      </c>
      <c r="G30" t="str">
        <f t="shared" ca="1" si="1"/>
        <v>Hendicaped</v>
      </c>
      <c r="H30" s="3" t="str">
        <f ca="1">r_choice(Table6[ID])</f>
        <v>G</v>
      </c>
      <c r="J30" t="s">
        <v>4712</v>
      </c>
      <c r="K30" t="s">
        <v>4690</v>
      </c>
    </row>
    <row r="31" spans="1:11" x14ac:dyDescent="0.15">
      <c r="A31" t="s">
        <v>4314</v>
      </c>
      <c r="B31" t="str">
        <f ca="1">r_choice(Table3[ID])</f>
        <v>C13</v>
      </c>
      <c r="C31" t="str">
        <f ca="1">r_choice(Table10[ID])</f>
        <v>G02</v>
      </c>
      <c r="D31" t="str">
        <f ca="1">r_choice(EXCURSION!$A$2:$A$21)</f>
        <v>E02</v>
      </c>
      <c r="E31" s="2">
        <f t="shared" ca="1" si="0"/>
        <v>42288</v>
      </c>
      <c r="F31">
        <f t="shared" ca="1" si="2"/>
        <v>5</v>
      </c>
      <c r="G31" t="str">
        <f t="shared" ca="1" si="1"/>
        <v>Quiet Floor</v>
      </c>
      <c r="H31" s="3" t="str">
        <f ca="1">r_choice(Table6[ID])</f>
        <v>B</v>
      </c>
      <c r="J31" t="s">
        <v>4708</v>
      </c>
      <c r="K31" t="s">
        <v>4690</v>
      </c>
    </row>
    <row r="32" spans="1:11" x14ac:dyDescent="0.15">
      <c r="A32" t="s">
        <v>4315</v>
      </c>
      <c r="B32" t="str">
        <f ca="1">r_choice(Table3[ID])</f>
        <v>C92</v>
      </c>
      <c r="C32" t="str">
        <f ca="1">r_choice(Table10[ID])</f>
        <v>G16</v>
      </c>
      <c r="D32" t="str">
        <f ca="1">r_choice(EXCURSION!$A$2:$A$21)</f>
        <v>E15</v>
      </c>
      <c r="E32" s="2">
        <f t="shared" ca="1" si="0"/>
        <v>42274</v>
      </c>
      <c r="F32">
        <f t="shared" ca="1" si="2"/>
        <v>4</v>
      </c>
      <c r="G32" t="str">
        <f t="shared" ca="1" si="1"/>
        <v>Quiet Floor</v>
      </c>
      <c r="H32" s="3" t="str">
        <f ca="1">r_choice(Table6[ID])</f>
        <v>S</v>
      </c>
      <c r="J32" t="str">
        <f t="shared" ref="J32:J95" ca="1" si="3">insertinto(A2:H2,$J$24:$K$31,"reservation")</f>
        <v>insert into reservation values ('R01', 'C16', 'G18', 'E11', '23-Aug-2015', 4, 'Pets Allowed', 'B');</v>
      </c>
    </row>
    <row r="33" spans="1:10" x14ac:dyDescent="0.15">
      <c r="A33" t="s">
        <v>4316</v>
      </c>
      <c r="B33" t="str">
        <f ca="1">r_choice(Table3[ID])</f>
        <v>C66</v>
      </c>
      <c r="C33" t="str">
        <f ca="1">r_choice(Table10[ID])</f>
        <v>G19</v>
      </c>
      <c r="D33" t="str">
        <f ca="1">r_choice(EXCURSION!$A$2:$A$21)</f>
        <v>E14</v>
      </c>
      <c r="E33" s="2">
        <f t="shared" ca="1" si="0"/>
        <v>42246</v>
      </c>
      <c r="F33">
        <f t="shared" ca="1" si="2"/>
        <v>3</v>
      </c>
      <c r="G33" t="str">
        <f t="shared" ca="1" si="1"/>
        <v>Quiet Floor</v>
      </c>
      <c r="H33" s="3" t="str">
        <f ca="1">r_choice(Table6[ID])</f>
        <v>G</v>
      </c>
      <c r="J33" t="str">
        <f t="shared" ca="1" si="3"/>
        <v>insert into reservation values ('R02', 'C84', 'G17', 'E15', '26-Dec-2015', 3, 'Child Proof', 'P');</v>
      </c>
    </row>
    <row r="34" spans="1:10" x14ac:dyDescent="0.15">
      <c r="A34" t="s">
        <v>4317</v>
      </c>
      <c r="B34" t="str">
        <f ca="1">r_choice(Table3[ID])</f>
        <v>C59</v>
      </c>
      <c r="C34" t="str">
        <f ca="1">r_choice(Table10[ID])</f>
        <v>G10</v>
      </c>
      <c r="D34" t="str">
        <f ca="1">r_choice(EXCURSION!$A$2:$A$21)</f>
        <v>E10</v>
      </c>
      <c r="E34" s="2">
        <f t="shared" ca="1" si="0"/>
        <v>42053</v>
      </c>
      <c r="F34">
        <f t="shared" ca="1" si="2"/>
        <v>1</v>
      </c>
      <c r="G34" t="str">
        <f t="shared" ca="1" si="1"/>
        <v>Child Proof</v>
      </c>
      <c r="H34" s="3" t="str">
        <f ca="1">r_choice(Table6[ID])</f>
        <v>P</v>
      </c>
      <c r="J34" t="str">
        <f t="shared" ca="1" si="3"/>
        <v>insert into reservation values ('R03', 'C81', 'G25', 'E18', '21-Jun-2015', 6, 'Vegeterian', 'S');</v>
      </c>
    </row>
    <row r="35" spans="1:10" x14ac:dyDescent="0.15">
      <c r="A35" t="s">
        <v>4318</v>
      </c>
      <c r="B35" t="str">
        <f ca="1">r_choice(Table3[ID])</f>
        <v>C47</v>
      </c>
      <c r="C35" t="str">
        <f ca="1">r_choice(Table10[ID])</f>
        <v>G09</v>
      </c>
      <c r="D35" t="str">
        <f ca="1">r_choice(EXCURSION!$A$2:$A$21)</f>
        <v>E14</v>
      </c>
      <c r="E35" s="2">
        <f t="shared" ca="1" si="0"/>
        <v>42317</v>
      </c>
      <c r="F35">
        <f t="shared" ca="1" si="2"/>
        <v>5</v>
      </c>
      <c r="G35" t="str">
        <f t="shared" ca="1" si="1"/>
        <v>Hendicaped</v>
      </c>
      <c r="H35" s="3" t="str">
        <f ca="1">r_choice(Table6[ID])</f>
        <v>B</v>
      </c>
      <c r="J35" t="str">
        <f t="shared" ca="1" si="3"/>
        <v>insert into reservation values ('R04', 'C85', 'G05', 'E05', '17-Oct-2015', 2, 'Pets Allowed', 'G');</v>
      </c>
    </row>
    <row r="36" spans="1:10" x14ac:dyDescent="0.15">
      <c r="A36" t="s">
        <v>4319</v>
      </c>
      <c r="B36" t="str">
        <f ca="1">r_choice(Table3[ID])</f>
        <v>C40</v>
      </c>
      <c r="C36" t="str">
        <f ca="1">r_choice(Table10[ID])</f>
        <v>G13</v>
      </c>
      <c r="D36" t="str">
        <f ca="1">r_choice(EXCURSION!$A$2:$A$21)</f>
        <v>E08</v>
      </c>
      <c r="E36" s="2">
        <f t="shared" ca="1" si="0"/>
        <v>42264</v>
      </c>
      <c r="F36">
        <f t="shared" ca="1" si="2"/>
        <v>4</v>
      </c>
      <c r="G36" t="str">
        <f t="shared" ca="1" si="1"/>
        <v>Pets Allowed</v>
      </c>
      <c r="H36" s="3" t="str">
        <f ca="1">r_choice(Table6[ID])</f>
        <v>P</v>
      </c>
      <c r="J36" t="str">
        <f t="shared" ca="1" si="3"/>
        <v>insert into reservation values ('R05', 'C20', 'G04', 'E20', '02-Jul-2015', 3, 'Hendicaped', 'B');</v>
      </c>
    </row>
    <row r="37" spans="1:10" x14ac:dyDescent="0.15">
      <c r="A37" t="s">
        <v>4320</v>
      </c>
      <c r="B37" t="str">
        <f ca="1">r_choice(Table3[ID])</f>
        <v>C47</v>
      </c>
      <c r="C37" t="str">
        <f ca="1">r_choice(Table10[ID])</f>
        <v>G09</v>
      </c>
      <c r="D37" t="str">
        <f ca="1">r_choice(EXCURSION!$A$2:$A$21)</f>
        <v>E01</v>
      </c>
      <c r="E37" s="2">
        <f t="shared" ca="1" si="0"/>
        <v>42087</v>
      </c>
      <c r="F37">
        <f t="shared" ca="1" si="2"/>
        <v>2</v>
      </c>
      <c r="G37" t="str">
        <f t="shared" ca="1" si="1"/>
        <v>None</v>
      </c>
      <c r="H37" s="3" t="str">
        <f ca="1">r_choice(Table6[ID])</f>
        <v>P</v>
      </c>
      <c r="J37" t="str">
        <f t="shared" ca="1" si="3"/>
        <v>insert into reservation values ('R06', 'C49', 'G24', 'E05', '10-Oct-2015', 2, 'None', 'G');</v>
      </c>
    </row>
    <row r="38" spans="1:10" x14ac:dyDescent="0.15">
      <c r="A38" t="s">
        <v>4321</v>
      </c>
      <c r="B38" t="str">
        <f ca="1">r_choice(Table3[ID])</f>
        <v>C42</v>
      </c>
      <c r="C38" t="str">
        <f ca="1">r_choice(Table10[ID])</f>
        <v>G02</v>
      </c>
      <c r="D38" t="str">
        <f ca="1">r_choice(EXCURSION!$A$2:$A$21)</f>
        <v>E17</v>
      </c>
      <c r="E38" s="2">
        <f t="shared" ca="1" si="0"/>
        <v>42105</v>
      </c>
      <c r="F38">
        <f t="shared" ca="1" si="2"/>
        <v>2</v>
      </c>
      <c r="G38" t="str">
        <f t="shared" ca="1" si="1"/>
        <v>Hendicaped</v>
      </c>
      <c r="H38" s="3" t="str">
        <f ca="1">r_choice(Table6[ID])</f>
        <v>S</v>
      </c>
      <c r="J38" t="str">
        <f t="shared" ca="1" si="3"/>
        <v>insert into reservation values ('R07', 'C26', 'G05', 'E09', '08-Apr-2015', 3, 'Hendicaped', 'P');</v>
      </c>
    </row>
    <row r="39" spans="1:10" x14ac:dyDescent="0.15">
      <c r="A39" t="s">
        <v>4322</v>
      </c>
      <c r="B39" t="str">
        <f ca="1">r_choice(Table3[ID])</f>
        <v>C13</v>
      </c>
      <c r="C39" t="str">
        <f ca="1">r_choice(Table10[ID])</f>
        <v>G11</v>
      </c>
      <c r="D39" t="str">
        <f ca="1">r_choice(EXCURSION!$A$2:$A$21)</f>
        <v>E19</v>
      </c>
      <c r="E39" s="2">
        <f t="shared" ca="1" si="0"/>
        <v>42124</v>
      </c>
      <c r="F39">
        <f t="shared" ca="1" si="2"/>
        <v>2</v>
      </c>
      <c r="G39" t="str">
        <f t="shared" ca="1" si="1"/>
        <v>Non Smoking</v>
      </c>
      <c r="H39" s="3" t="str">
        <f ca="1">r_choice(Table6[ID])</f>
        <v>P</v>
      </c>
      <c r="J39" t="str">
        <f t="shared" ca="1" si="3"/>
        <v>insert into reservation values ('R08', 'C58', 'G14', 'E09', '21-Apr-2015', 4, 'Pets Allowed', 'B');</v>
      </c>
    </row>
    <row r="40" spans="1:10" x14ac:dyDescent="0.15">
      <c r="A40" t="s">
        <v>4323</v>
      </c>
      <c r="B40" t="str">
        <f ca="1">r_choice(Table3[ID])</f>
        <v>C45</v>
      </c>
      <c r="C40" t="str">
        <f ca="1">r_choice(Table10[ID])</f>
        <v>G21</v>
      </c>
      <c r="D40" t="str">
        <f ca="1">r_choice(EXCURSION!$A$2:$A$21)</f>
        <v>E14</v>
      </c>
      <c r="E40" s="2">
        <f t="shared" ca="1" si="0"/>
        <v>42169</v>
      </c>
      <c r="F40">
        <f t="shared" ca="1" si="2"/>
        <v>2</v>
      </c>
      <c r="G40" t="str">
        <f t="shared" ca="1" si="1"/>
        <v>Quiet Floor</v>
      </c>
      <c r="H40" s="3" t="str">
        <f ca="1">r_choice(Table6[ID])</f>
        <v>G</v>
      </c>
      <c r="J40" t="str">
        <f t="shared" ca="1" si="3"/>
        <v>insert into reservation values ('R09', 'C71', 'G21', 'E07', '06-May-2015', 1, 'Quiet Floor', 'G');</v>
      </c>
    </row>
    <row r="41" spans="1:10" x14ac:dyDescent="0.15">
      <c r="A41" t="s">
        <v>4324</v>
      </c>
      <c r="B41" t="str">
        <f ca="1">r_choice(Table3[ID])</f>
        <v>C21</v>
      </c>
      <c r="C41" t="str">
        <f ca="1">r_choice(Table10[ID])</f>
        <v>G14</v>
      </c>
      <c r="D41" t="str">
        <f ca="1">r_choice(EXCURSION!$A$2:$A$21)</f>
        <v>E08</v>
      </c>
      <c r="E41" s="2">
        <f t="shared" ca="1" si="0"/>
        <v>42257</v>
      </c>
      <c r="F41">
        <f t="shared" ca="1" si="2"/>
        <v>4</v>
      </c>
      <c r="G41" t="str">
        <f t="shared" ca="1" si="1"/>
        <v>Quiet Floor</v>
      </c>
      <c r="H41" s="3" t="str">
        <f ca="1">r_choice(Table6[ID])</f>
        <v>S</v>
      </c>
      <c r="J41" t="str">
        <f t="shared" ca="1" si="3"/>
        <v>insert into reservation values ('R10', 'C90', 'G14', 'E18', '02-Sep-2015', 5, 'Non Smoking', 'G');</v>
      </c>
    </row>
    <row r="42" spans="1:10" x14ac:dyDescent="0.15">
      <c r="A42" t="s">
        <v>4325</v>
      </c>
      <c r="B42" t="str">
        <f ca="1">r_choice(Table3[ID])</f>
        <v>C62</v>
      </c>
      <c r="C42" t="str">
        <f ca="1">r_choice(Table10[ID])</f>
        <v>G12</v>
      </c>
      <c r="D42" t="str">
        <f ca="1">r_choice(EXCURSION!$A$2:$A$21)</f>
        <v>E11</v>
      </c>
      <c r="E42" s="2">
        <f t="shared" ca="1" si="0"/>
        <v>42176</v>
      </c>
      <c r="F42">
        <f t="shared" ca="1" si="2"/>
        <v>4</v>
      </c>
      <c r="G42" t="str">
        <f t="shared" ca="1" si="1"/>
        <v>Quiet Floor</v>
      </c>
      <c r="H42" s="3" t="str">
        <f ca="1">r_choice(Table6[ID])</f>
        <v>P</v>
      </c>
      <c r="J42" t="str">
        <f t="shared" ca="1" si="3"/>
        <v>insert into reservation values ('R11', 'C53', 'G05', 'E15', '08-Apr-2015', 4, 'Non Smoking', 'S');</v>
      </c>
    </row>
    <row r="43" spans="1:10" x14ac:dyDescent="0.15">
      <c r="A43" t="s">
        <v>4326</v>
      </c>
      <c r="B43" t="str">
        <f ca="1">r_choice(Table3[ID])</f>
        <v>C58</v>
      </c>
      <c r="C43" t="str">
        <f ca="1">r_choice(Table10[ID])</f>
        <v>G25</v>
      </c>
      <c r="D43" t="str">
        <f ca="1">r_choice(EXCURSION!$A$2:$A$21)</f>
        <v>E03</v>
      </c>
      <c r="E43" s="2">
        <f t="shared" ca="1" si="0"/>
        <v>42318</v>
      </c>
      <c r="F43">
        <f t="shared" ca="1" si="2"/>
        <v>1</v>
      </c>
      <c r="G43" t="str">
        <f t="shared" ca="1" si="1"/>
        <v>Child Proof</v>
      </c>
      <c r="H43" s="3" t="str">
        <f ca="1">r_choice(Table6[ID])</f>
        <v>B</v>
      </c>
      <c r="J43" t="str">
        <f t="shared" ca="1" si="3"/>
        <v>insert into reservation values ('R12', 'C14', 'G03', 'E06', '23-Nov-2015', 5, 'Vegeterian', 'G');</v>
      </c>
    </row>
    <row r="44" spans="1:10" x14ac:dyDescent="0.15">
      <c r="A44" t="s">
        <v>4327</v>
      </c>
      <c r="B44" t="str">
        <f ca="1">r_choice(Table3[ID])</f>
        <v>C22</v>
      </c>
      <c r="C44" t="str">
        <f ca="1">r_choice(Table10[ID])</f>
        <v>G09</v>
      </c>
      <c r="D44" t="str">
        <f ca="1">r_choice(EXCURSION!$A$2:$A$21)</f>
        <v>E05</v>
      </c>
      <c r="E44" s="2">
        <f t="shared" ca="1" si="0"/>
        <v>42359</v>
      </c>
      <c r="F44">
        <f t="shared" ca="1" si="2"/>
        <v>1</v>
      </c>
      <c r="G44" t="str">
        <f t="shared" ca="1" si="1"/>
        <v>None</v>
      </c>
      <c r="H44" s="3" t="str">
        <f ca="1">r_choice(Table6[ID])</f>
        <v>B</v>
      </c>
      <c r="J44" t="str">
        <f t="shared" ca="1" si="3"/>
        <v>insert into reservation values ('R13', 'C41', 'G24', 'E08', '23-Jun-2015', 3, 'Non Smoking', 'B');</v>
      </c>
    </row>
    <row r="45" spans="1:10" x14ac:dyDescent="0.15">
      <c r="A45" t="s">
        <v>4328</v>
      </c>
      <c r="B45" t="str">
        <f ca="1">r_choice(Table3[ID])</f>
        <v>C59</v>
      </c>
      <c r="C45" t="str">
        <f ca="1">r_choice(Table10[ID])</f>
        <v>G19</v>
      </c>
      <c r="D45" t="str">
        <f ca="1">r_choice(EXCURSION!$A$2:$A$21)</f>
        <v>E16</v>
      </c>
      <c r="E45" s="2">
        <f t="shared" ca="1" si="0"/>
        <v>42205</v>
      </c>
      <c r="F45">
        <f t="shared" ca="1" si="2"/>
        <v>2</v>
      </c>
      <c r="G45" t="str">
        <f t="shared" ca="1" si="1"/>
        <v>Child Proof</v>
      </c>
      <c r="H45" s="3" t="str">
        <f ca="1">r_choice(Table6[ID])</f>
        <v>G</v>
      </c>
      <c r="J45" t="str">
        <f t="shared" ca="1" si="3"/>
        <v>insert into reservation values ('R14', 'C94', 'G13', 'E02', '29-Apr-2015', 1, 'Quiet Floor', 'G');</v>
      </c>
    </row>
    <row r="46" spans="1:10" x14ac:dyDescent="0.15">
      <c r="A46" t="s">
        <v>4329</v>
      </c>
      <c r="B46" t="str">
        <f ca="1">r_choice(Table3[ID])</f>
        <v>C59</v>
      </c>
      <c r="C46" t="str">
        <f ca="1">r_choice(Table10[ID])</f>
        <v>G18</v>
      </c>
      <c r="D46" t="str">
        <f ca="1">r_choice(EXCURSION!$A$2:$A$21)</f>
        <v>E11</v>
      </c>
      <c r="E46" s="2">
        <f t="shared" ca="1" si="0"/>
        <v>42193</v>
      </c>
      <c r="F46">
        <f t="shared" ca="1" si="2"/>
        <v>4</v>
      </c>
      <c r="G46" t="str">
        <f t="shared" ca="1" si="1"/>
        <v>Pets Allowed</v>
      </c>
      <c r="H46" s="3" t="str">
        <f ca="1">r_choice(Table6[ID])</f>
        <v>B</v>
      </c>
      <c r="J46" t="str">
        <f t="shared" ca="1" si="3"/>
        <v>insert into reservation values ('R15', 'C79', 'G16', 'E12', '22-Feb-2015', 1, 'Vegeterian', 'P');</v>
      </c>
    </row>
    <row r="47" spans="1:10" x14ac:dyDescent="0.15">
      <c r="A47" t="s">
        <v>4330</v>
      </c>
      <c r="B47" t="str">
        <f ca="1">r_choice(Table3[ID])</f>
        <v>C11</v>
      </c>
      <c r="C47" t="str">
        <f ca="1">r_choice(Table10[ID])</f>
        <v>G07</v>
      </c>
      <c r="D47" t="str">
        <f ca="1">r_choice(EXCURSION!$A$2:$A$21)</f>
        <v>E17</v>
      </c>
      <c r="E47" s="2">
        <f t="shared" ca="1" si="0"/>
        <v>42030</v>
      </c>
      <c r="F47">
        <f t="shared" ca="1" si="2"/>
        <v>1</v>
      </c>
      <c r="G47" t="str">
        <f t="shared" ca="1" si="1"/>
        <v>Child Proof</v>
      </c>
      <c r="H47" s="3" t="str">
        <f ca="1">r_choice(Table6[ID])</f>
        <v>S</v>
      </c>
      <c r="J47" t="str">
        <f t="shared" ca="1" si="3"/>
        <v>insert into reservation values ('R16', 'C66', 'G25', 'E02', '28-May-2015', 1, 'Pets Allowed', 'B');</v>
      </c>
    </row>
    <row r="48" spans="1:10" x14ac:dyDescent="0.15">
      <c r="A48" t="s">
        <v>4331</v>
      </c>
      <c r="B48" t="str">
        <f ca="1">r_choice(Table3[ID])</f>
        <v>C96</v>
      </c>
      <c r="C48" t="str">
        <f ca="1">r_choice(Table10[ID])</f>
        <v>G20</v>
      </c>
      <c r="D48" t="str">
        <f ca="1">r_choice(EXCURSION!$A$2:$A$21)</f>
        <v>E19</v>
      </c>
      <c r="E48" s="2">
        <f t="shared" ca="1" si="0"/>
        <v>42370</v>
      </c>
      <c r="F48">
        <f t="shared" ca="1" si="2"/>
        <v>4</v>
      </c>
      <c r="G48" t="str">
        <f t="shared" ca="1" si="1"/>
        <v>Child Proof</v>
      </c>
      <c r="H48" s="3" t="str">
        <f ca="1">r_choice(Table6[ID])</f>
        <v>B</v>
      </c>
      <c r="J48" t="str">
        <f t="shared" ca="1" si="3"/>
        <v>insert into reservation values ('R17', 'C40', 'G25', 'E08', '19-Sep-2015', 4, 'Vegeterian', 'B');</v>
      </c>
    </row>
    <row r="49" spans="1:10" x14ac:dyDescent="0.15">
      <c r="A49" t="s">
        <v>4332</v>
      </c>
      <c r="B49" t="str">
        <f ca="1">r_choice(Table3[ID])</f>
        <v>C24</v>
      </c>
      <c r="C49" t="str">
        <f ca="1">r_choice(Table10[ID])</f>
        <v>G03</v>
      </c>
      <c r="D49" t="str">
        <f ca="1">r_choice(EXCURSION!$A$2:$A$21)</f>
        <v>E12</v>
      </c>
      <c r="E49" s="2">
        <f t="shared" ca="1" si="0"/>
        <v>42377</v>
      </c>
      <c r="F49">
        <f t="shared" ca="1" si="2"/>
        <v>1</v>
      </c>
      <c r="G49" t="str">
        <f t="shared" ca="1" si="1"/>
        <v>Hendicaped</v>
      </c>
      <c r="H49" s="3" t="str">
        <f ca="1">r_choice(Table6[ID])</f>
        <v>B</v>
      </c>
      <c r="J49" t="str">
        <f t="shared" ca="1" si="3"/>
        <v>insert into reservation values ('R18', 'C70', 'G24', 'E11', '24-Mar-2015', 6, 'Vegeterian', 'P');</v>
      </c>
    </row>
    <row r="50" spans="1:10" x14ac:dyDescent="0.15">
      <c r="A50" t="s">
        <v>4333</v>
      </c>
      <c r="B50" t="str">
        <f ca="1">r_choice(Table3[ID])</f>
        <v>C25</v>
      </c>
      <c r="C50" t="str">
        <f ca="1">r_choice(Table10[ID])</f>
        <v>G10</v>
      </c>
      <c r="D50" t="str">
        <f ca="1">r_choice(EXCURSION!$A$2:$A$21)</f>
        <v>E03</v>
      </c>
      <c r="E50" s="2">
        <f t="shared" ca="1" si="0"/>
        <v>42140</v>
      </c>
      <c r="F50">
        <f t="shared" ca="1" si="2"/>
        <v>5</v>
      </c>
      <c r="G50" t="str">
        <f t="shared" ca="1" si="1"/>
        <v>Quiet Floor</v>
      </c>
      <c r="H50" s="3" t="str">
        <f ca="1">r_choice(Table6[ID])</f>
        <v>P</v>
      </c>
      <c r="J50" t="str">
        <f t="shared" ca="1" si="3"/>
        <v>insert into reservation values ('R19', 'C90', 'G22', 'E05', '27-Jan-2016', 6, 'Hendicaped', 'P');</v>
      </c>
    </row>
    <row r="51" spans="1:10" x14ac:dyDescent="0.15">
      <c r="A51" t="s">
        <v>4334</v>
      </c>
      <c r="B51" t="str">
        <f ca="1">r_choice(Table3[ID])</f>
        <v>C33</v>
      </c>
      <c r="C51" t="str">
        <f ca="1">r_choice(Table10[ID])</f>
        <v>G11</v>
      </c>
      <c r="D51" t="str">
        <f ca="1">r_choice(EXCURSION!$A$2:$A$21)</f>
        <v>E18</v>
      </c>
      <c r="E51" s="2">
        <f t="shared" ca="1" si="0"/>
        <v>42278</v>
      </c>
      <c r="F51">
        <f t="shared" ca="1" si="2"/>
        <v>4</v>
      </c>
      <c r="G51" t="str">
        <f t="shared" ca="1" si="1"/>
        <v>Quiet Floor</v>
      </c>
      <c r="H51" s="3" t="str">
        <f ca="1">r_choice(Table6[ID])</f>
        <v>G</v>
      </c>
      <c r="J51" t="str">
        <f t="shared" ca="1" si="3"/>
        <v>insert into reservation values ('R20', 'C68', 'G11', 'E17', '05-Jan-2016', 5, 'Child Proof', 'B');</v>
      </c>
    </row>
    <row r="52" spans="1:10" x14ac:dyDescent="0.15">
      <c r="A52" t="s">
        <v>4335</v>
      </c>
      <c r="B52" t="str">
        <f ca="1">r_choice(Table3[ID])</f>
        <v>C51</v>
      </c>
      <c r="C52" t="str">
        <f ca="1">r_choice(Table10[ID])</f>
        <v>G15</v>
      </c>
      <c r="D52" t="str">
        <f ca="1">r_choice(EXCURSION!$A$2:$A$21)</f>
        <v>E05</v>
      </c>
      <c r="E52" s="2">
        <f t="shared" ca="1" si="0"/>
        <v>42285</v>
      </c>
      <c r="F52">
        <f t="shared" ca="1" si="2"/>
        <v>5</v>
      </c>
      <c r="G52" t="str">
        <f t="shared" ca="1" si="1"/>
        <v>Hendicaped</v>
      </c>
      <c r="H52" s="3" t="str">
        <f ca="1">r_choice(Table6[ID])</f>
        <v>B</v>
      </c>
      <c r="J52" t="str">
        <f t="shared" ca="1" si="3"/>
        <v>insert into reservation values ('R21', 'C15', 'G06', 'E09', '01-Jul-2015', 4, 'Non Smoking', 'B');</v>
      </c>
    </row>
    <row r="53" spans="1:10" x14ac:dyDescent="0.15">
      <c r="A53" t="s">
        <v>4336</v>
      </c>
      <c r="B53" t="str">
        <f ca="1">r_choice(Table3[ID])</f>
        <v>C79</v>
      </c>
      <c r="C53" t="str">
        <f ca="1">r_choice(Table10[ID])</f>
        <v>G02</v>
      </c>
      <c r="D53" t="str">
        <f ca="1">r_choice(EXCURSION!$A$2:$A$21)</f>
        <v>E01</v>
      </c>
      <c r="E53" s="2">
        <f t="shared" ca="1" si="0"/>
        <v>42038</v>
      </c>
      <c r="F53">
        <f t="shared" ca="1" si="2"/>
        <v>1</v>
      </c>
      <c r="G53" t="str">
        <f t="shared" ca="1" si="1"/>
        <v>Vegeterian</v>
      </c>
      <c r="H53" s="3" t="str">
        <f ca="1">r_choice(Table6[ID])</f>
        <v>G</v>
      </c>
      <c r="J53" t="str">
        <f t="shared" ca="1" si="3"/>
        <v>insert into reservation values ('R22', 'C75', 'G13', 'E03', '20-Jan-2015', 2, 'Non Smoking', 'S');</v>
      </c>
    </row>
    <row r="54" spans="1:10" x14ac:dyDescent="0.15">
      <c r="A54" t="s">
        <v>4337</v>
      </c>
      <c r="B54" t="str">
        <f ca="1">r_choice(Table3[ID])</f>
        <v>C60</v>
      </c>
      <c r="C54" t="str">
        <f ca="1">r_choice(Table10[ID])</f>
        <v>G23</v>
      </c>
      <c r="D54" t="str">
        <f ca="1">r_choice(EXCURSION!$A$2:$A$21)</f>
        <v>E12</v>
      </c>
      <c r="E54" s="2">
        <f t="shared" ca="1" si="0"/>
        <v>42254</v>
      </c>
      <c r="F54">
        <f t="shared" ca="1" si="2"/>
        <v>6</v>
      </c>
      <c r="G54" t="str">
        <f t="shared" ca="1" si="1"/>
        <v>Vegeterian</v>
      </c>
      <c r="H54" s="3" t="str">
        <f ca="1">r_choice(Table6[ID])</f>
        <v>G</v>
      </c>
      <c r="J54" t="str">
        <f t="shared" ca="1" si="3"/>
        <v>insert into reservation values ('R23', 'C36', 'G10', 'E05', '15-Nov-2015', 2, 'Quiet Floor', 'S');</v>
      </c>
    </row>
    <row r="55" spans="1:10" x14ac:dyDescent="0.15">
      <c r="A55" t="s">
        <v>4338</v>
      </c>
      <c r="B55" t="str">
        <f ca="1">r_choice(Table3[ID])</f>
        <v>C68</v>
      </c>
      <c r="C55" t="str">
        <f ca="1">r_choice(Table10[ID])</f>
        <v>G07</v>
      </c>
      <c r="D55" t="str">
        <f ca="1">r_choice(EXCURSION!$A$2:$A$21)</f>
        <v>E06</v>
      </c>
      <c r="E55" s="2">
        <f t="shared" ca="1" si="0"/>
        <v>42205</v>
      </c>
      <c r="F55">
        <f t="shared" ca="1" si="2"/>
        <v>1</v>
      </c>
      <c r="G55" t="str">
        <f t="shared" ca="1" si="1"/>
        <v>Vegeterian</v>
      </c>
      <c r="H55" s="3" t="str">
        <f ca="1">r_choice(Table6[ID])</f>
        <v>P</v>
      </c>
      <c r="J55" t="str">
        <f t="shared" ca="1" si="3"/>
        <v>insert into reservation values ('R24', 'C62', 'G13', 'E16', '18-Jan-2015', 3, 'Non Smoking', 'B');</v>
      </c>
    </row>
    <row r="56" spans="1:10" x14ac:dyDescent="0.15">
      <c r="A56" t="s">
        <v>4339</v>
      </c>
      <c r="B56" t="str">
        <f ca="1">r_choice(Table3[ID])</f>
        <v>C46</v>
      </c>
      <c r="C56" t="str">
        <f ca="1">r_choice(Table10[ID])</f>
        <v>G10</v>
      </c>
      <c r="D56" t="str">
        <f ca="1">r_choice(EXCURSION!$A$2:$A$21)</f>
        <v>E14</v>
      </c>
      <c r="E56" s="2">
        <f t="shared" ca="1" si="0"/>
        <v>42148</v>
      </c>
      <c r="F56">
        <f t="shared" ca="1" si="2"/>
        <v>1</v>
      </c>
      <c r="G56" t="str">
        <f t="shared" ca="1" si="1"/>
        <v>Hendicaped</v>
      </c>
      <c r="H56" s="3" t="str">
        <f ca="1">r_choice(Table6[ID])</f>
        <v>G</v>
      </c>
      <c r="J56" t="str">
        <f t="shared" ca="1" si="3"/>
        <v>insert into reservation values ('R25', 'C29', 'G11', 'E20', '24-Jun-2015', 1, 'None', 'B');</v>
      </c>
    </row>
    <row r="57" spans="1:10" x14ac:dyDescent="0.15">
      <c r="A57" t="s">
        <v>4340</v>
      </c>
      <c r="B57" t="str">
        <f ca="1">r_choice(Table3[ID])</f>
        <v>C01</v>
      </c>
      <c r="C57" t="str">
        <f ca="1">r_choice(Table10[ID])</f>
        <v>G19</v>
      </c>
      <c r="D57" t="str">
        <f ca="1">r_choice(EXCURSION!$A$2:$A$21)</f>
        <v>E08</v>
      </c>
      <c r="E57" s="2">
        <f t="shared" ca="1" si="0"/>
        <v>42238</v>
      </c>
      <c r="F57">
        <f t="shared" ca="1" si="2"/>
        <v>3</v>
      </c>
      <c r="G57" t="str">
        <f t="shared" ca="1" si="1"/>
        <v>Pets Allowed</v>
      </c>
      <c r="H57" s="3" t="str">
        <f ca="1">r_choice(Table6[ID])</f>
        <v>G</v>
      </c>
      <c r="J57" t="str">
        <f t="shared" ca="1" si="3"/>
        <v>insert into reservation values ('R26', 'C24', 'G21', 'E04', '01-May-2015', 3, 'Child Proof', 'B');</v>
      </c>
    </row>
    <row r="58" spans="1:10" x14ac:dyDescent="0.15">
      <c r="A58" t="s">
        <v>4341</v>
      </c>
      <c r="B58" t="str">
        <f ca="1">r_choice(Table3[ID])</f>
        <v>C15</v>
      </c>
      <c r="C58" t="str">
        <f ca="1">r_choice(Table10[ID])</f>
        <v>G05</v>
      </c>
      <c r="D58" t="str">
        <f ca="1">r_choice(EXCURSION!$A$2:$A$21)</f>
        <v>E09</v>
      </c>
      <c r="E58" s="2">
        <f t="shared" ca="1" si="0"/>
        <v>42035</v>
      </c>
      <c r="F58">
        <f t="shared" ca="1" si="2"/>
        <v>1</v>
      </c>
      <c r="G58" t="str">
        <f t="shared" ca="1" si="1"/>
        <v>Quiet Floor</v>
      </c>
      <c r="H58" s="3" t="str">
        <f ca="1">r_choice(Table6[ID])</f>
        <v>B</v>
      </c>
      <c r="J58" t="str">
        <f t="shared" ca="1" si="3"/>
        <v>insert into reservation values ('R27', 'C38', 'G05', 'E13', '10-Jan-2016', 1, 'Quiet Floor', 'B');</v>
      </c>
    </row>
    <row r="59" spans="1:10" x14ac:dyDescent="0.15">
      <c r="A59" t="s">
        <v>4342</v>
      </c>
      <c r="B59" t="str">
        <f ca="1">r_choice(Table3[ID])</f>
        <v>C59</v>
      </c>
      <c r="C59" t="str">
        <f ca="1">r_choice(Table10[ID])</f>
        <v>G15</v>
      </c>
      <c r="D59" t="str">
        <f ca="1">r_choice(EXCURSION!$A$2:$A$21)</f>
        <v>E10</v>
      </c>
      <c r="E59" s="2">
        <f t="shared" ca="1" si="0"/>
        <v>42049</v>
      </c>
      <c r="F59">
        <f t="shared" ca="1" si="2"/>
        <v>4</v>
      </c>
      <c r="G59" t="str">
        <f t="shared" ca="1" si="1"/>
        <v>Hendicaped</v>
      </c>
      <c r="H59" s="3" t="str">
        <f ca="1">r_choice(Table6[ID])</f>
        <v>P</v>
      </c>
      <c r="J59" t="str">
        <f t="shared" ca="1" si="3"/>
        <v>insert into reservation values ('R28', 'C26', 'G15', 'E19', '09-Apr-2015', 3, 'Hendicaped', 'P');</v>
      </c>
    </row>
    <row r="60" spans="1:10" x14ac:dyDescent="0.15">
      <c r="A60" t="s">
        <v>4343</v>
      </c>
      <c r="B60" t="str">
        <f ca="1">r_choice(Table3[ID])</f>
        <v>C77</v>
      </c>
      <c r="C60" t="str">
        <f ca="1">r_choice(Table10[ID])</f>
        <v>G09</v>
      </c>
      <c r="D60" t="str">
        <f ca="1">r_choice(EXCURSION!$A$2:$A$21)</f>
        <v>E11</v>
      </c>
      <c r="E60" s="2">
        <f t="shared" ca="1" si="0"/>
        <v>42154</v>
      </c>
      <c r="F60">
        <f t="shared" ca="1" si="2"/>
        <v>5</v>
      </c>
      <c r="G60" t="str">
        <f t="shared" ca="1" si="1"/>
        <v>Child Proof</v>
      </c>
      <c r="H60" s="3" t="str">
        <f ca="1">r_choice(Table6[ID])</f>
        <v>S</v>
      </c>
      <c r="J60" t="str">
        <f t="shared" ca="1" si="3"/>
        <v>insert into reservation values ('R29', 'C80', 'G04', 'E08', '08-Dec-2015', 5, 'Hendicaped', 'G');</v>
      </c>
    </row>
    <row r="61" spans="1:10" x14ac:dyDescent="0.15">
      <c r="A61" t="s">
        <v>4344</v>
      </c>
      <c r="B61" t="str">
        <f ca="1">r_choice(Table3[ID])</f>
        <v>C85</v>
      </c>
      <c r="C61" t="str">
        <f ca="1">r_choice(Table10[ID])</f>
        <v>G18</v>
      </c>
      <c r="D61" t="str">
        <f ca="1">r_choice(EXCURSION!$A$2:$A$21)</f>
        <v>E19</v>
      </c>
      <c r="E61" s="2">
        <f t="shared" ca="1" si="0"/>
        <v>42057</v>
      </c>
      <c r="F61">
        <f t="shared" ca="1" si="2"/>
        <v>2</v>
      </c>
      <c r="G61" t="str">
        <f t="shared" ca="1" si="1"/>
        <v>Vegeterian</v>
      </c>
      <c r="H61" s="3" t="str">
        <f ca="1">r_choice(Table6[ID])</f>
        <v>P</v>
      </c>
      <c r="J61" t="str">
        <f t="shared" ca="1" si="3"/>
        <v>insert into reservation values ('R30', 'C13', 'G02', 'E02', '11-Oct-2015', 5, 'Quiet Floor', 'B');</v>
      </c>
    </row>
    <row r="62" spans="1:10" x14ac:dyDescent="0.15">
      <c r="A62" t="s">
        <v>4345</v>
      </c>
      <c r="B62" t="str">
        <f ca="1">r_choice(Table3[ID])</f>
        <v>C98</v>
      </c>
      <c r="C62" t="str">
        <f ca="1">r_choice(Table10[ID])</f>
        <v>G23</v>
      </c>
      <c r="D62" t="str">
        <f ca="1">r_choice(EXCURSION!$A$2:$A$21)</f>
        <v>E05</v>
      </c>
      <c r="E62" s="2">
        <f t="shared" ca="1" si="0"/>
        <v>42029</v>
      </c>
      <c r="F62">
        <f t="shared" ca="1" si="2"/>
        <v>4</v>
      </c>
      <c r="G62" t="str">
        <f t="shared" ca="1" si="1"/>
        <v>None</v>
      </c>
      <c r="H62" s="3" t="str">
        <f ca="1">r_choice(Table6[ID])</f>
        <v>B</v>
      </c>
      <c r="J62" t="str">
        <f t="shared" ca="1" si="3"/>
        <v>insert into reservation values ('R31', 'C92', 'G16', 'E15', '27-Sep-2015', 4, 'Quiet Floor', 'S');</v>
      </c>
    </row>
    <row r="63" spans="1:10" x14ac:dyDescent="0.15">
      <c r="A63" t="s">
        <v>4346</v>
      </c>
      <c r="B63" t="str">
        <f ca="1">r_choice(Table3[ID])</f>
        <v>C37</v>
      </c>
      <c r="C63" t="str">
        <f ca="1">r_choice(Table10[ID])</f>
        <v>G16</v>
      </c>
      <c r="D63" t="str">
        <f ca="1">r_choice(EXCURSION!$A$2:$A$21)</f>
        <v>E19</v>
      </c>
      <c r="E63" s="2">
        <f t="shared" ca="1" si="0"/>
        <v>42155</v>
      </c>
      <c r="F63">
        <f t="shared" ca="1" si="2"/>
        <v>2</v>
      </c>
      <c r="G63" t="str">
        <f t="shared" ca="1" si="1"/>
        <v>Child Proof</v>
      </c>
      <c r="H63" s="3" t="str">
        <f ca="1">r_choice(Table6[ID])</f>
        <v>B</v>
      </c>
      <c r="J63" t="str">
        <f t="shared" ca="1" si="3"/>
        <v>insert into reservation values ('R32', 'C66', 'G19', 'E14', '30-Aug-2015', 3, 'Quiet Floor', 'G');</v>
      </c>
    </row>
    <row r="64" spans="1:10" x14ac:dyDescent="0.15">
      <c r="A64" t="s">
        <v>4347</v>
      </c>
      <c r="B64" t="str">
        <f ca="1">r_choice(Table3[ID])</f>
        <v>C04</v>
      </c>
      <c r="C64" t="str">
        <f ca="1">r_choice(Table10[ID])</f>
        <v>G23</v>
      </c>
      <c r="D64" t="str">
        <f ca="1">r_choice(EXCURSION!$A$2:$A$21)</f>
        <v>E04</v>
      </c>
      <c r="E64" s="2">
        <f t="shared" ca="1" si="0"/>
        <v>42061</v>
      </c>
      <c r="F64">
        <f t="shared" ca="1" si="2"/>
        <v>6</v>
      </c>
      <c r="G64" t="str">
        <f t="shared" ca="1" si="1"/>
        <v>Vegeterian</v>
      </c>
      <c r="H64" s="3" t="str">
        <f ca="1">r_choice(Table6[ID])</f>
        <v>B</v>
      </c>
      <c r="J64" t="str">
        <f t="shared" ca="1" si="3"/>
        <v>insert into reservation values ('R33', 'C59', 'G10', 'E10', '18-Feb-2015', 1, 'Child Proof', 'P');</v>
      </c>
    </row>
    <row r="65" spans="1:10" x14ac:dyDescent="0.15">
      <c r="A65" t="s">
        <v>4348</v>
      </c>
      <c r="B65" t="str">
        <f ca="1">r_choice(Table3[ID])</f>
        <v>C71</v>
      </c>
      <c r="C65" t="str">
        <f ca="1">r_choice(Table10[ID])</f>
        <v>G04</v>
      </c>
      <c r="D65" t="str">
        <f ca="1">r_choice(EXCURSION!$A$2:$A$21)</f>
        <v>E01</v>
      </c>
      <c r="E65" s="2">
        <f t="shared" ca="1" si="0"/>
        <v>42360</v>
      </c>
      <c r="F65">
        <f t="shared" ca="1" si="2"/>
        <v>5</v>
      </c>
      <c r="G65" t="str">
        <f t="shared" ca="1" si="1"/>
        <v>Quiet Floor</v>
      </c>
      <c r="H65" s="3" t="str">
        <f ca="1">r_choice(Table6[ID])</f>
        <v>P</v>
      </c>
      <c r="J65" t="str">
        <f t="shared" ca="1" si="3"/>
        <v>insert into reservation values ('R34', 'C47', 'G09', 'E14', '09-Nov-2015', 5, 'Hendicaped', 'B');</v>
      </c>
    </row>
    <row r="66" spans="1:10" x14ac:dyDescent="0.15">
      <c r="A66" t="s">
        <v>4349</v>
      </c>
      <c r="B66" t="str">
        <f ca="1">r_choice(Table3[ID])</f>
        <v>C21</v>
      </c>
      <c r="C66" t="str">
        <f ca="1">r_choice(Table10[ID])</f>
        <v>G05</v>
      </c>
      <c r="D66" t="str">
        <f ca="1">r_choice(EXCURSION!$A$2:$A$21)</f>
        <v>E17</v>
      </c>
      <c r="E66" s="2">
        <f t="shared" ref="E66:E129" ca="1" si="4">r_date(2015,1,2016,1)</f>
        <v>42046</v>
      </c>
      <c r="F66">
        <f t="shared" ref="F66:F129" ca="1" si="5">r_integer(1,6)</f>
        <v>6</v>
      </c>
      <c r="G66" t="str">
        <f t="shared" ref="G66:G129" ca="1" si="6">r_choice($I$9:$I$15)</f>
        <v>Hendicaped</v>
      </c>
      <c r="H66" s="3" t="str">
        <f ca="1">r_choice(Table6[ID])</f>
        <v>P</v>
      </c>
      <c r="J66" t="str">
        <f t="shared" ca="1" si="3"/>
        <v>insert into reservation values ('R35', 'C40', 'G13', 'E08', '17-Sep-2015', 4, 'Pets Allowed', 'P');</v>
      </c>
    </row>
    <row r="67" spans="1:10" x14ac:dyDescent="0.15">
      <c r="A67" t="s">
        <v>4350</v>
      </c>
      <c r="B67" t="str">
        <f ca="1">r_choice(Table3[ID])</f>
        <v>C65</v>
      </c>
      <c r="C67" t="str">
        <f ca="1">r_choice(Table10[ID])</f>
        <v>G17</v>
      </c>
      <c r="D67" t="str">
        <f ca="1">r_choice(EXCURSION!$A$2:$A$21)</f>
        <v>E15</v>
      </c>
      <c r="E67" s="2">
        <f t="shared" ca="1" si="4"/>
        <v>42375</v>
      </c>
      <c r="F67">
        <f t="shared" ca="1" si="5"/>
        <v>6</v>
      </c>
      <c r="G67" t="str">
        <f t="shared" ca="1" si="6"/>
        <v>Non Smoking</v>
      </c>
      <c r="H67" s="3" t="str">
        <f ca="1">r_choice(Table6[ID])</f>
        <v>S</v>
      </c>
      <c r="J67" t="str">
        <f t="shared" ca="1" si="3"/>
        <v>insert into reservation values ('R36', 'C47', 'G09', 'E01', '24-Mar-2015', 2, 'None', 'P');</v>
      </c>
    </row>
    <row r="68" spans="1:10" x14ac:dyDescent="0.15">
      <c r="A68" t="s">
        <v>4351</v>
      </c>
      <c r="B68" t="str">
        <f ca="1">r_choice(Table3[ID])</f>
        <v>C100</v>
      </c>
      <c r="C68" t="str">
        <f ca="1">r_choice(Table10[ID])</f>
        <v>G25</v>
      </c>
      <c r="D68" t="str">
        <f ca="1">r_choice(EXCURSION!$A$2:$A$21)</f>
        <v>E14</v>
      </c>
      <c r="E68" s="2">
        <f t="shared" ca="1" si="4"/>
        <v>42176</v>
      </c>
      <c r="F68">
        <f t="shared" ca="1" si="5"/>
        <v>4</v>
      </c>
      <c r="G68" t="str">
        <f t="shared" ca="1" si="6"/>
        <v>Pets Allowed</v>
      </c>
      <c r="H68" s="3" t="str">
        <f ca="1">r_choice(Table6[ID])</f>
        <v>G</v>
      </c>
      <c r="J68" t="str">
        <f t="shared" ca="1" si="3"/>
        <v>insert into reservation values ('R37', 'C42', 'G02', 'E17', '11-Apr-2015', 2, 'Hendicaped', 'S');</v>
      </c>
    </row>
    <row r="69" spans="1:10" x14ac:dyDescent="0.15">
      <c r="A69" t="s">
        <v>4352</v>
      </c>
      <c r="B69" t="str">
        <f ca="1">r_choice(Table3[ID])</f>
        <v>C91</v>
      </c>
      <c r="C69" t="str">
        <f ca="1">r_choice(Table10[ID])</f>
        <v>G13</v>
      </c>
      <c r="D69" t="str">
        <f ca="1">r_choice(EXCURSION!$A$2:$A$21)</f>
        <v>E18</v>
      </c>
      <c r="E69" s="2">
        <f t="shared" ca="1" si="4"/>
        <v>42041</v>
      </c>
      <c r="F69">
        <f t="shared" ca="1" si="5"/>
        <v>2</v>
      </c>
      <c r="G69" t="str">
        <f t="shared" ca="1" si="6"/>
        <v>Non Smoking</v>
      </c>
      <c r="H69" s="3" t="str">
        <f ca="1">r_choice(Table6[ID])</f>
        <v>G</v>
      </c>
      <c r="J69" t="str">
        <f t="shared" ca="1" si="3"/>
        <v>insert into reservation values ('R38', 'C13', 'G11', 'E19', '30-Apr-2015', 2, 'Non Smoking', 'P');</v>
      </c>
    </row>
    <row r="70" spans="1:10" x14ac:dyDescent="0.15">
      <c r="A70" t="s">
        <v>4353</v>
      </c>
      <c r="B70" t="str">
        <f ca="1">r_choice(Table3[ID])</f>
        <v>C16</v>
      </c>
      <c r="C70" t="str">
        <f ca="1">r_choice(Table10[ID])</f>
        <v>G01</v>
      </c>
      <c r="D70" t="str">
        <f ca="1">r_choice(EXCURSION!$A$2:$A$21)</f>
        <v>E01</v>
      </c>
      <c r="E70" s="2">
        <f t="shared" ca="1" si="4"/>
        <v>42150</v>
      </c>
      <c r="F70">
        <f t="shared" ca="1" si="5"/>
        <v>5</v>
      </c>
      <c r="G70" t="str">
        <f t="shared" ca="1" si="6"/>
        <v>Pets Allowed</v>
      </c>
      <c r="H70" s="3" t="str">
        <f ca="1">r_choice(Table6[ID])</f>
        <v>S</v>
      </c>
      <c r="J70" t="str">
        <f t="shared" ca="1" si="3"/>
        <v>insert into reservation values ('R39', 'C45', 'G21', 'E14', '14-Jun-2015', 2, 'Quiet Floor', 'G');</v>
      </c>
    </row>
    <row r="71" spans="1:10" x14ac:dyDescent="0.15">
      <c r="A71" t="s">
        <v>4354</v>
      </c>
      <c r="B71" t="str">
        <f ca="1">r_choice(Table3[ID])</f>
        <v>C37</v>
      </c>
      <c r="C71" t="str">
        <f ca="1">r_choice(Table10[ID])</f>
        <v>G14</v>
      </c>
      <c r="D71" t="str">
        <f ca="1">r_choice(EXCURSION!$A$2:$A$21)</f>
        <v>E17</v>
      </c>
      <c r="E71" s="2">
        <f t="shared" ca="1" si="4"/>
        <v>42277</v>
      </c>
      <c r="F71">
        <f t="shared" ca="1" si="5"/>
        <v>2</v>
      </c>
      <c r="G71" t="str">
        <f t="shared" ca="1" si="6"/>
        <v>Quiet Floor</v>
      </c>
      <c r="H71" s="3" t="str">
        <f ca="1">r_choice(Table6[ID])</f>
        <v>B</v>
      </c>
      <c r="J71" t="str">
        <f t="shared" ca="1" si="3"/>
        <v>insert into reservation values ('R40', 'C21', 'G14', 'E08', '10-Sep-2015', 4, 'Quiet Floor', 'S');</v>
      </c>
    </row>
    <row r="72" spans="1:10" x14ac:dyDescent="0.15">
      <c r="A72" t="s">
        <v>4355</v>
      </c>
      <c r="B72" t="str">
        <f ca="1">r_choice(Table3[ID])</f>
        <v>C04</v>
      </c>
      <c r="C72" t="str">
        <f ca="1">r_choice(Table10[ID])</f>
        <v>G20</v>
      </c>
      <c r="D72" t="str">
        <f ca="1">r_choice(EXCURSION!$A$2:$A$21)</f>
        <v>E03</v>
      </c>
      <c r="E72" s="2">
        <f t="shared" ca="1" si="4"/>
        <v>42369</v>
      </c>
      <c r="F72">
        <f t="shared" ca="1" si="5"/>
        <v>6</v>
      </c>
      <c r="G72" t="str">
        <f t="shared" ca="1" si="6"/>
        <v>Vegeterian</v>
      </c>
      <c r="H72" s="3" t="str">
        <f ca="1">r_choice(Table6[ID])</f>
        <v>P</v>
      </c>
      <c r="J72" t="str">
        <f t="shared" ca="1" si="3"/>
        <v>insert into reservation values ('R41', 'C62', 'G12', 'E11', '21-Jun-2015', 4, 'Quiet Floor', 'P');</v>
      </c>
    </row>
    <row r="73" spans="1:10" x14ac:dyDescent="0.15">
      <c r="A73" t="s">
        <v>4356</v>
      </c>
      <c r="B73" t="str">
        <f ca="1">r_choice(Table3[ID])</f>
        <v>C66</v>
      </c>
      <c r="C73" t="str">
        <f ca="1">r_choice(Table10[ID])</f>
        <v>G03</v>
      </c>
      <c r="D73" t="str">
        <f ca="1">r_choice(EXCURSION!$A$2:$A$21)</f>
        <v>E01</v>
      </c>
      <c r="E73" s="2">
        <f t="shared" ca="1" si="4"/>
        <v>42176</v>
      </c>
      <c r="F73">
        <f t="shared" ca="1" si="5"/>
        <v>1</v>
      </c>
      <c r="G73" t="str">
        <f t="shared" ca="1" si="6"/>
        <v>Hendicaped</v>
      </c>
      <c r="H73" s="3" t="str">
        <f ca="1">r_choice(Table6[ID])</f>
        <v>B</v>
      </c>
      <c r="J73" t="str">
        <f t="shared" ca="1" si="3"/>
        <v>insert into reservation values ('R42', 'C58', 'G25', 'E03', '10-Nov-2015', 1, 'Child Proof', 'B');</v>
      </c>
    </row>
    <row r="74" spans="1:10" x14ac:dyDescent="0.15">
      <c r="A74" t="s">
        <v>4357</v>
      </c>
      <c r="B74" t="str">
        <f ca="1">r_choice(Table3[ID])</f>
        <v>C26</v>
      </c>
      <c r="C74" t="str">
        <f ca="1">r_choice(Table10[ID])</f>
        <v>G23</v>
      </c>
      <c r="D74" t="str">
        <f ca="1">r_choice(EXCURSION!$A$2:$A$21)</f>
        <v>E01</v>
      </c>
      <c r="E74" s="2">
        <f t="shared" ca="1" si="4"/>
        <v>42065</v>
      </c>
      <c r="F74">
        <f t="shared" ca="1" si="5"/>
        <v>5</v>
      </c>
      <c r="G74" t="str">
        <f t="shared" ca="1" si="6"/>
        <v>Quiet Floor</v>
      </c>
      <c r="H74" s="3" t="str">
        <f ca="1">r_choice(Table6[ID])</f>
        <v>G</v>
      </c>
      <c r="J74" t="str">
        <f t="shared" ca="1" si="3"/>
        <v>insert into reservation values ('R43', 'C22', 'G09', 'E05', '21-Dec-2015', 1, 'None', 'B');</v>
      </c>
    </row>
    <row r="75" spans="1:10" x14ac:dyDescent="0.15">
      <c r="A75" t="s">
        <v>4358</v>
      </c>
      <c r="B75" t="str">
        <f ca="1">r_choice(Table3[ID])</f>
        <v>C91</v>
      </c>
      <c r="C75" t="str">
        <f ca="1">r_choice(Table10[ID])</f>
        <v>G03</v>
      </c>
      <c r="D75" t="str">
        <f ca="1">r_choice(EXCURSION!$A$2:$A$21)</f>
        <v>E16</v>
      </c>
      <c r="E75" s="2">
        <f t="shared" ca="1" si="4"/>
        <v>42122</v>
      </c>
      <c r="F75">
        <f t="shared" ca="1" si="5"/>
        <v>4</v>
      </c>
      <c r="G75" t="str">
        <f t="shared" ca="1" si="6"/>
        <v>Child Proof</v>
      </c>
      <c r="H75" s="3" t="str">
        <f ca="1">r_choice(Table6[ID])</f>
        <v>B</v>
      </c>
      <c r="J75" t="str">
        <f t="shared" ca="1" si="3"/>
        <v>insert into reservation values ('R44', 'C59', 'G19', 'E16', '20-Jul-2015', 2, 'Child Proof', 'G');</v>
      </c>
    </row>
    <row r="76" spans="1:10" x14ac:dyDescent="0.15">
      <c r="A76" t="s">
        <v>4359</v>
      </c>
      <c r="B76" t="str">
        <f ca="1">r_choice(Table3[ID])</f>
        <v>C89</v>
      </c>
      <c r="C76" t="str">
        <f ca="1">r_choice(Table10[ID])</f>
        <v>G02</v>
      </c>
      <c r="D76" t="str">
        <f ca="1">r_choice(EXCURSION!$A$2:$A$21)</f>
        <v>E08</v>
      </c>
      <c r="E76" s="2">
        <f t="shared" ca="1" si="4"/>
        <v>42268</v>
      </c>
      <c r="F76">
        <f t="shared" ca="1" si="5"/>
        <v>6</v>
      </c>
      <c r="G76" t="str">
        <f t="shared" ca="1" si="6"/>
        <v>None</v>
      </c>
      <c r="H76" s="3" t="str">
        <f ca="1">r_choice(Table6[ID])</f>
        <v>G</v>
      </c>
      <c r="J76" t="str">
        <f t="shared" ca="1" si="3"/>
        <v>insert into reservation values ('R45', 'C59', 'G18', 'E11', '08-Jul-2015', 4, 'Pets Allowed', 'B');</v>
      </c>
    </row>
    <row r="77" spans="1:10" x14ac:dyDescent="0.15">
      <c r="A77" t="s">
        <v>4360</v>
      </c>
      <c r="B77" t="str">
        <f ca="1">r_choice(Table3[ID])</f>
        <v>C01</v>
      </c>
      <c r="C77" t="str">
        <f ca="1">r_choice(Table10[ID])</f>
        <v>G12</v>
      </c>
      <c r="D77" t="str">
        <f ca="1">r_choice(EXCURSION!$A$2:$A$21)</f>
        <v>E12</v>
      </c>
      <c r="E77" s="2">
        <f t="shared" ca="1" si="4"/>
        <v>42264</v>
      </c>
      <c r="F77">
        <f t="shared" ca="1" si="5"/>
        <v>5</v>
      </c>
      <c r="G77" t="str">
        <f t="shared" ca="1" si="6"/>
        <v>Hendicaped</v>
      </c>
      <c r="H77" s="3" t="str">
        <f ca="1">r_choice(Table6[ID])</f>
        <v>P</v>
      </c>
      <c r="J77" t="str">
        <f t="shared" ca="1" si="3"/>
        <v>insert into reservation values ('R46', 'C11', 'G07', 'E17', '26-Jan-2015', 1, 'Child Proof', 'S');</v>
      </c>
    </row>
    <row r="78" spans="1:10" x14ac:dyDescent="0.15">
      <c r="A78" t="s">
        <v>4361</v>
      </c>
      <c r="B78" t="str">
        <f ca="1">r_choice(Table3[ID])</f>
        <v>C02</v>
      </c>
      <c r="C78" t="str">
        <f ca="1">r_choice(Table10[ID])</f>
        <v>G01</v>
      </c>
      <c r="D78" t="str">
        <f ca="1">r_choice(EXCURSION!$A$2:$A$21)</f>
        <v>E17</v>
      </c>
      <c r="E78" s="2">
        <f t="shared" ca="1" si="4"/>
        <v>42162</v>
      </c>
      <c r="F78">
        <f t="shared" ca="1" si="5"/>
        <v>2</v>
      </c>
      <c r="G78" t="str">
        <f t="shared" ca="1" si="6"/>
        <v>Vegeterian</v>
      </c>
      <c r="H78" s="3" t="str">
        <f ca="1">r_choice(Table6[ID])</f>
        <v>G</v>
      </c>
      <c r="J78" t="str">
        <f t="shared" ca="1" si="3"/>
        <v>insert into reservation values ('R47', 'C96', 'G20', 'E19', '01-Jan-2016', 4, 'Child Proof', 'B');</v>
      </c>
    </row>
    <row r="79" spans="1:10" x14ac:dyDescent="0.15">
      <c r="A79" t="s">
        <v>4362</v>
      </c>
      <c r="B79" t="str">
        <f ca="1">r_choice(Table3[ID])</f>
        <v>C52</v>
      </c>
      <c r="C79" t="str">
        <f ca="1">r_choice(Table10[ID])</f>
        <v>G17</v>
      </c>
      <c r="D79" t="str">
        <f ca="1">r_choice(EXCURSION!$A$2:$A$21)</f>
        <v>E03</v>
      </c>
      <c r="E79" s="2">
        <f t="shared" ca="1" si="4"/>
        <v>42277</v>
      </c>
      <c r="F79">
        <f t="shared" ca="1" si="5"/>
        <v>3</v>
      </c>
      <c r="G79" t="str">
        <f t="shared" ca="1" si="6"/>
        <v>Non Smoking</v>
      </c>
      <c r="H79" s="3" t="str">
        <f ca="1">r_choice(Table6[ID])</f>
        <v>S</v>
      </c>
      <c r="J79" t="str">
        <f t="shared" ca="1" si="3"/>
        <v>insert into reservation values ('R48', 'C24', 'G03', 'E12', '08-Jan-2016', 1, 'Hendicaped', 'B');</v>
      </c>
    </row>
    <row r="80" spans="1:10" x14ac:dyDescent="0.15">
      <c r="A80" t="s">
        <v>4363</v>
      </c>
      <c r="B80" t="str">
        <f ca="1">r_choice(Table3[ID])</f>
        <v>C55</v>
      </c>
      <c r="C80" t="str">
        <f ca="1">r_choice(Table10[ID])</f>
        <v>G19</v>
      </c>
      <c r="D80" t="str">
        <f ca="1">r_choice(EXCURSION!$A$2:$A$21)</f>
        <v>E07</v>
      </c>
      <c r="E80" s="2">
        <f t="shared" ca="1" si="4"/>
        <v>42248</v>
      </c>
      <c r="F80">
        <f t="shared" ca="1" si="5"/>
        <v>4</v>
      </c>
      <c r="G80" t="str">
        <f t="shared" ca="1" si="6"/>
        <v>Non Smoking</v>
      </c>
      <c r="H80" s="3" t="str">
        <f ca="1">r_choice(Table6[ID])</f>
        <v>P</v>
      </c>
      <c r="J80" t="str">
        <f t="shared" ca="1" si="3"/>
        <v>insert into reservation values ('R49', 'C25', 'G10', 'E03', '16-May-2015', 5, 'Quiet Floor', 'P');</v>
      </c>
    </row>
    <row r="81" spans="1:10" x14ac:dyDescent="0.15">
      <c r="A81" t="s">
        <v>4364</v>
      </c>
      <c r="B81" t="str">
        <f ca="1">r_choice(Table3[ID])</f>
        <v>C70</v>
      </c>
      <c r="C81" t="str">
        <f ca="1">r_choice(Table10[ID])</f>
        <v>G21</v>
      </c>
      <c r="D81" t="str">
        <f ca="1">r_choice(EXCURSION!$A$2:$A$21)</f>
        <v>E03</v>
      </c>
      <c r="E81" s="2">
        <f t="shared" ca="1" si="4"/>
        <v>42009</v>
      </c>
      <c r="F81">
        <f t="shared" ca="1" si="5"/>
        <v>5</v>
      </c>
      <c r="G81" t="str">
        <f t="shared" ca="1" si="6"/>
        <v>Non Smoking</v>
      </c>
      <c r="H81" s="3" t="str">
        <f ca="1">r_choice(Table6[ID])</f>
        <v>P</v>
      </c>
      <c r="J81" t="str">
        <f t="shared" ca="1" si="3"/>
        <v>insert into reservation values ('R50', 'C33', 'G11', 'E18', '01-Oct-2015', 4, 'Quiet Floor', 'G');</v>
      </c>
    </row>
    <row r="82" spans="1:10" x14ac:dyDescent="0.15">
      <c r="A82" t="s">
        <v>4365</v>
      </c>
      <c r="B82" t="str">
        <f ca="1">r_choice(Table3[ID])</f>
        <v>C96</v>
      </c>
      <c r="C82" t="str">
        <f ca="1">r_choice(Table10[ID])</f>
        <v>G03</v>
      </c>
      <c r="D82" t="str">
        <f ca="1">r_choice(EXCURSION!$A$2:$A$21)</f>
        <v>E19</v>
      </c>
      <c r="E82" s="2">
        <f t="shared" ca="1" si="4"/>
        <v>42080</v>
      </c>
      <c r="F82">
        <f t="shared" ca="1" si="5"/>
        <v>1</v>
      </c>
      <c r="G82" t="str">
        <f t="shared" ca="1" si="6"/>
        <v>None</v>
      </c>
      <c r="H82" s="3" t="str">
        <f ca="1">r_choice(Table6[ID])</f>
        <v>G</v>
      </c>
      <c r="J82" t="str">
        <f t="shared" ca="1" si="3"/>
        <v>insert into reservation values ('R51', 'C51', 'G15', 'E05', '08-Oct-2015', 5, 'Hendicaped', 'B');</v>
      </c>
    </row>
    <row r="83" spans="1:10" x14ac:dyDescent="0.15">
      <c r="A83" t="s">
        <v>4366</v>
      </c>
      <c r="B83" t="str">
        <f ca="1">r_choice(Table3[ID])</f>
        <v>C43</v>
      </c>
      <c r="C83" t="str">
        <f ca="1">r_choice(Table10[ID])</f>
        <v>G16</v>
      </c>
      <c r="D83" t="str">
        <f ca="1">r_choice(EXCURSION!$A$2:$A$21)</f>
        <v>E19</v>
      </c>
      <c r="E83" s="2">
        <f t="shared" ca="1" si="4"/>
        <v>42228</v>
      </c>
      <c r="F83">
        <f t="shared" ca="1" si="5"/>
        <v>5</v>
      </c>
      <c r="G83" t="str">
        <f t="shared" ca="1" si="6"/>
        <v>None</v>
      </c>
      <c r="H83" s="3" t="str">
        <f ca="1">r_choice(Table6[ID])</f>
        <v>P</v>
      </c>
      <c r="J83" t="str">
        <f t="shared" ca="1" si="3"/>
        <v>insert into reservation values ('R52', 'C79', 'G02', 'E01', '03-Feb-2015', 1, 'Vegeterian', 'G');</v>
      </c>
    </row>
    <row r="84" spans="1:10" x14ac:dyDescent="0.15">
      <c r="A84" t="s">
        <v>4367</v>
      </c>
      <c r="B84" t="str">
        <f ca="1">r_choice(Table3[ID])</f>
        <v>C49</v>
      </c>
      <c r="C84" t="str">
        <f ca="1">r_choice(Table10[ID])</f>
        <v>G11</v>
      </c>
      <c r="D84" t="str">
        <f ca="1">r_choice(EXCURSION!$A$2:$A$21)</f>
        <v>E13</v>
      </c>
      <c r="E84" s="2">
        <f t="shared" ca="1" si="4"/>
        <v>42048</v>
      </c>
      <c r="F84">
        <f t="shared" ca="1" si="5"/>
        <v>6</v>
      </c>
      <c r="G84" t="str">
        <f t="shared" ca="1" si="6"/>
        <v>None</v>
      </c>
      <c r="H84" s="3" t="str">
        <f ca="1">r_choice(Table6[ID])</f>
        <v>P</v>
      </c>
      <c r="J84" t="str">
        <f t="shared" ca="1" si="3"/>
        <v>insert into reservation values ('R53', 'C60', 'G23', 'E12', '07-Sep-2015', 6, 'Vegeterian', 'G');</v>
      </c>
    </row>
    <row r="85" spans="1:10" x14ac:dyDescent="0.15">
      <c r="A85" t="s">
        <v>4368</v>
      </c>
      <c r="B85" t="str">
        <f ca="1">r_choice(Table3[ID])</f>
        <v>C15</v>
      </c>
      <c r="C85" t="str">
        <f ca="1">r_choice(Table10[ID])</f>
        <v>G20</v>
      </c>
      <c r="D85" t="str">
        <f ca="1">r_choice(EXCURSION!$A$2:$A$21)</f>
        <v>E18</v>
      </c>
      <c r="E85" s="2">
        <f t="shared" ca="1" si="4"/>
        <v>42307</v>
      </c>
      <c r="F85">
        <f t="shared" ca="1" si="5"/>
        <v>6</v>
      </c>
      <c r="G85" t="str">
        <f t="shared" ca="1" si="6"/>
        <v>None</v>
      </c>
      <c r="H85" s="3" t="str">
        <f ca="1">r_choice(Table6[ID])</f>
        <v>S</v>
      </c>
      <c r="J85" t="str">
        <f t="shared" ca="1" si="3"/>
        <v>insert into reservation values ('R54', 'C68', 'G07', 'E06', '20-Jul-2015', 1, 'Vegeterian', 'P');</v>
      </c>
    </row>
    <row r="86" spans="1:10" x14ac:dyDescent="0.15">
      <c r="A86" t="s">
        <v>4369</v>
      </c>
      <c r="B86" t="str">
        <f ca="1">r_choice(Table3[ID])</f>
        <v>C99</v>
      </c>
      <c r="C86" t="str">
        <f ca="1">r_choice(Table10[ID])</f>
        <v>G19</v>
      </c>
      <c r="D86" t="str">
        <f ca="1">r_choice(EXCURSION!$A$2:$A$21)</f>
        <v>E14</v>
      </c>
      <c r="E86" s="2">
        <f t="shared" ca="1" si="4"/>
        <v>42103</v>
      </c>
      <c r="F86">
        <f t="shared" ca="1" si="5"/>
        <v>2</v>
      </c>
      <c r="G86" t="str">
        <f t="shared" ca="1" si="6"/>
        <v>None</v>
      </c>
      <c r="H86" s="3" t="str">
        <f ca="1">r_choice(Table6[ID])</f>
        <v>P</v>
      </c>
      <c r="J86" t="str">
        <f t="shared" ca="1" si="3"/>
        <v>insert into reservation values ('R55', 'C46', 'G10', 'E14', '24-May-2015', 1, 'Hendicaped', 'G');</v>
      </c>
    </row>
    <row r="87" spans="1:10" x14ac:dyDescent="0.15">
      <c r="A87" t="s">
        <v>4370</v>
      </c>
      <c r="B87" t="str">
        <f ca="1">r_choice(Table3[ID])</f>
        <v>C60</v>
      </c>
      <c r="C87" t="str">
        <f ca="1">r_choice(Table10[ID])</f>
        <v>G20</v>
      </c>
      <c r="D87" t="str">
        <f ca="1">r_choice(EXCURSION!$A$2:$A$21)</f>
        <v>E06</v>
      </c>
      <c r="E87" s="2">
        <f t="shared" ca="1" si="4"/>
        <v>42354</v>
      </c>
      <c r="F87">
        <f t="shared" ca="1" si="5"/>
        <v>4</v>
      </c>
      <c r="G87" t="str">
        <f t="shared" ca="1" si="6"/>
        <v>Child Proof</v>
      </c>
      <c r="H87" s="3" t="str">
        <f ca="1">r_choice(Table6[ID])</f>
        <v>B</v>
      </c>
      <c r="J87" t="str">
        <f t="shared" ca="1" si="3"/>
        <v>insert into reservation values ('R56', 'C01', 'G19', 'E08', '22-Aug-2015', 3, 'Pets Allowed', 'G');</v>
      </c>
    </row>
    <row r="88" spans="1:10" x14ac:dyDescent="0.15">
      <c r="A88" t="s">
        <v>4371</v>
      </c>
      <c r="B88" t="str">
        <f ca="1">r_choice(Table3[ID])</f>
        <v>C96</v>
      </c>
      <c r="C88" t="str">
        <f ca="1">r_choice(Table10[ID])</f>
        <v>G21</v>
      </c>
      <c r="D88" t="str">
        <f ca="1">r_choice(EXCURSION!$A$2:$A$21)</f>
        <v>E19</v>
      </c>
      <c r="E88" s="2">
        <f t="shared" ca="1" si="4"/>
        <v>42155</v>
      </c>
      <c r="F88">
        <f t="shared" ca="1" si="5"/>
        <v>4</v>
      </c>
      <c r="G88" t="str">
        <f t="shared" ca="1" si="6"/>
        <v>None</v>
      </c>
      <c r="H88" s="3" t="str">
        <f ca="1">r_choice(Table6[ID])</f>
        <v>S</v>
      </c>
      <c r="J88" t="str">
        <f t="shared" ca="1" si="3"/>
        <v>insert into reservation values ('R57', 'C15', 'G05', 'E09', '31-Jan-2015', 1, 'Quiet Floor', 'B');</v>
      </c>
    </row>
    <row r="89" spans="1:10" x14ac:dyDescent="0.15">
      <c r="A89" t="s">
        <v>4372</v>
      </c>
      <c r="B89" t="str">
        <f ca="1">r_choice(Table3[ID])</f>
        <v>C69</v>
      </c>
      <c r="C89" t="str">
        <f ca="1">r_choice(Table10[ID])</f>
        <v>G17</v>
      </c>
      <c r="D89" t="str">
        <f ca="1">r_choice(EXCURSION!$A$2:$A$21)</f>
        <v>E08</v>
      </c>
      <c r="E89" s="2">
        <f t="shared" ca="1" si="4"/>
        <v>42281</v>
      </c>
      <c r="F89">
        <f t="shared" ca="1" si="5"/>
        <v>4</v>
      </c>
      <c r="G89" t="str">
        <f t="shared" ca="1" si="6"/>
        <v>Pets Allowed</v>
      </c>
      <c r="H89" s="3" t="str">
        <f ca="1">r_choice(Table6[ID])</f>
        <v>P</v>
      </c>
      <c r="J89" t="str">
        <f t="shared" ca="1" si="3"/>
        <v>insert into reservation values ('R58', 'C59', 'G15', 'E10', '14-Feb-2015', 4, 'Hendicaped', 'P');</v>
      </c>
    </row>
    <row r="90" spans="1:10" x14ac:dyDescent="0.15">
      <c r="A90" t="s">
        <v>4373</v>
      </c>
      <c r="B90" t="str">
        <f ca="1">r_choice(Table3[ID])</f>
        <v>C55</v>
      </c>
      <c r="C90" t="str">
        <f ca="1">r_choice(Table10[ID])</f>
        <v>G22</v>
      </c>
      <c r="D90" t="str">
        <f ca="1">r_choice(EXCURSION!$A$2:$A$21)</f>
        <v>E16</v>
      </c>
      <c r="E90" s="2">
        <f t="shared" ca="1" si="4"/>
        <v>42179</v>
      </c>
      <c r="F90">
        <f t="shared" ca="1" si="5"/>
        <v>1</v>
      </c>
      <c r="G90" t="str">
        <f t="shared" ca="1" si="6"/>
        <v>None</v>
      </c>
      <c r="H90" s="3" t="str">
        <f ca="1">r_choice(Table6[ID])</f>
        <v>B</v>
      </c>
      <c r="J90" t="str">
        <f t="shared" ca="1" si="3"/>
        <v>insert into reservation values ('R59', 'C77', 'G09', 'E11', '30-May-2015', 5, 'Child Proof', 'S');</v>
      </c>
    </row>
    <row r="91" spans="1:10" x14ac:dyDescent="0.15">
      <c r="A91" t="s">
        <v>4374</v>
      </c>
      <c r="B91" t="str">
        <f ca="1">r_choice(Table3[ID])</f>
        <v>C77</v>
      </c>
      <c r="C91" t="str">
        <f ca="1">r_choice(Table10[ID])</f>
        <v>G03</v>
      </c>
      <c r="D91" t="str">
        <f ca="1">r_choice(EXCURSION!$A$2:$A$21)</f>
        <v>E16</v>
      </c>
      <c r="E91" s="2">
        <f t="shared" ca="1" si="4"/>
        <v>42153</v>
      </c>
      <c r="F91">
        <f t="shared" ca="1" si="5"/>
        <v>5</v>
      </c>
      <c r="G91" t="str">
        <f t="shared" ca="1" si="6"/>
        <v>Hendicaped</v>
      </c>
      <c r="H91" s="3" t="str">
        <f ca="1">r_choice(Table6[ID])</f>
        <v>B</v>
      </c>
      <c r="J91" t="str">
        <f t="shared" ca="1" si="3"/>
        <v>insert into reservation values ('R60', 'C85', 'G18', 'E19', '22-Feb-2015', 2, 'Vegeterian', 'P');</v>
      </c>
    </row>
    <row r="92" spans="1:10" x14ac:dyDescent="0.15">
      <c r="A92" t="s">
        <v>4375</v>
      </c>
      <c r="B92" t="str">
        <f ca="1">r_choice(Table3[ID])</f>
        <v>C44</v>
      </c>
      <c r="C92" t="str">
        <f ca="1">r_choice(Table10[ID])</f>
        <v>G06</v>
      </c>
      <c r="D92" t="str">
        <f ca="1">r_choice(EXCURSION!$A$2:$A$21)</f>
        <v>E13</v>
      </c>
      <c r="E92" s="2">
        <f t="shared" ca="1" si="4"/>
        <v>42024</v>
      </c>
      <c r="F92">
        <f t="shared" ca="1" si="5"/>
        <v>4</v>
      </c>
      <c r="G92" t="str">
        <f t="shared" ca="1" si="6"/>
        <v>Non Smoking</v>
      </c>
      <c r="H92" s="3" t="str">
        <f ca="1">r_choice(Table6[ID])</f>
        <v>G</v>
      </c>
      <c r="J92" t="str">
        <f t="shared" ca="1" si="3"/>
        <v>insert into reservation values ('R61', 'C98', 'G23', 'E05', '25-Jan-2015', 4, 'None', 'B');</v>
      </c>
    </row>
    <row r="93" spans="1:10" x14ac:dyDescent="0.15">
      <c r="A93" t="s">
        <v>4376</v>
      </c>
      <c r="B93" t="str">
        <f ca="1">r_choice(Table3[ID])</f>
        <v>C43</v>
      </c>
      <c r="C93" t="str">
        <f ca="1">r_choice(Table10[ID])</f>
        <v>G01</v>
      </c>
      <c r="D93" t="str">
        <f ca="1">r_choice(EXCURSION!$A$2:$A$21)</f>
        <v>E18</v>
      </c>
      <c r="E93" s="2">
        <f t="shared" ca="1" si="4"/>
        <v>42246</v>
      </c>
      <c r="F93">
        <f t="shared" ca="1" si="5"/>
        <v>6</v>
      </c>
      <c r="G93" t="str">
        <f t="shared" ca="1" si="6"/>
        <v>Hendicaped</v>
      </c>
      <c r="H93" s="3" t="str">
        <f ca="1">r_choice(Table6[ID])</f>
        <v>B</v>
      </c>
      <c r="J93" t="str">
        <f t="shared" ca="1" si="3"/>
        <v>insert into reservation values ('R62', 'C37', 'G16', 'E19', '31-May-2015', 2, 'Child Proof', 'B');</v>
      </c>
    </row>
    <row r="94" spans="1:10" x14ac:dyDescent="0.15">
      <c r="A94" t="s">
        <v>4377</v>
      </c>
      <c r="B94" t="str">
        <f ca="1">r_choice(Table3[ID])</f>
        <v>C38</v>
      </c>
      <c r="C94" t="str">
        <f ca="1">r_choice(Table10[ID])</f>
        <v>G09</v>
      </c>
      <c r="D94" t="str">
        <f ca="1">r_choice(EXCURSION!$A$2:$A$21)</f>
        <v>E17</v>
      </c>
      <c r="E94" s="2">
        <f t="shared" ca="1" si="4"/>
        <v>42111</v>
      </c>
      <c r="F94">
        <f t="shared" ca="1" si="5"/>
        <v>4</v>
      </c>
      <c r="G94" t="str">
        <f t="shared" ca="1" si="6"/>
        <v>Non Smoking</v>
      </c>
      <c r="H94" s="3" t="str">
        <f ca="1">r_choice(Table6[ID])</f>
        <v>P</v>
      </c>
      <c r="J94" t="str">
        <f t="shared" ca="1" si="3"/>
        <v>insert into reservation values ('R63', 'C04', 'G23', 'E04', '26-Feb-2015', 6, 'Vegeterian', 'B');</v>
      </c>
    </row>
    <row r="95" spans="1:10" x14ac:dyDescent="0.15">
      <c r="A95" t="s">
        <v>4378</v>
      </c>
      <c r="B95" t="str">
        <f ca="1">r_choice(Table3[ID])</f>
        <v>C17</v>
      </c>
      <c r="C95" t="str">
        <f ca="1">r_choice(Table10[ID])</f>
        <v>G25</v>
      </c>
      <c r="D95" t="str">
        <f ca="1">r_choice(EXCURSION!$A$2:$A$21)</f>
        <v>E01</v>
      </c>
      <c r="E95" s="2">
        <f t="shared" ca="1" si="4"/>
        <v>42016</v>
      </c>
      <c r="F95">
        <f t="shared" ca="1" si="5"/>
        <v>5</v>
      </c>
      <c r="G95" t="str">
        <f t="shared" ca="1" si="6"/>
        <v>Non Smoking</v>
      </c>
      <c r="H95" s="3" t="str">
        <f ca="1">r_choice(Table6[ID])</f>
        <v>S</v>
      </c>
      <c r="J95" t="str">
        <f t="shared" ca="1" si="3"/>
        <v>insert into reservation values ('R64', 'C71', 'G04', 'E01', '22-Dec-2015', 5, 'Quiet Floor', 'P');</v>
      </c>
    </row>
    <row r="96" spans="1:10" x14ac:dyDescent="0.15">
      <c r="A96" t="s">
        <v>4379</v>
      </c>
      <c r="B96" t="str">
        <f ca="1">r_choice(Table3[ID])</f>
        <v>C24</v>
      </c>
      <c r="C96" t="str">
        <f ca="1">r_choice(Table10[ID])</f>
        <v>G04</v>
      </c>
      <c r="D96" t="str">
        <f ca="1">r_choice(EXCURSION!$A$2:$A$21)</f>
        <v>E06</v>
      </c>
      <c r="E96" s="2">
        <f t="shared" ca="1" si="4"/>
        <v>42252</v>
      </c>
      <c r="F96">
        <f t="shared" ca="1" si="5"/>
        <v>4</v>
      </c>
      <c r="G96" t="str">
        <f t="shared" ca="1" si="6"/>
        <v>None</v>
      </c>
      <c r="H96" s="3" t="str">
        <f ca="1">r_choice(Table6[ID])</f>
        <v>B</v>
      </c>
      <c r="J96" t="str">
        <f t="shared" ref="J96:J159" ca="1" si="7">insertinto(A66:H66,$J$24:$K$31,"reservation")</f>
        <v>insert into reservation values ('R65', 'C21', 'G05', 'E17', '11-Feb-2015', 6, 'Hendicaped', 'P');</v>
      </c>
    </row>
    <row r="97" spans="1:10" x14ac:dyDescent="0.15">
      <c r="A97" t="s">
        <v>4380</v>
      </c>
      <c r="B97" t="str">
        <f ca="1">r_choice(Table3[ID])</f>
        <v>C96</v>
      </c>
      <c r="C97" t="str">
        <f ca="1">r_choice(Table10[ID])</f>
        <v>G06</v>
      </c>
      <c r="D97" t="str">
        <f ca="1">r_choice(EXCURSION!$A$2:$A$21)</f>
        <v>E01</v>
      </c>
      <c r="E97" s="2">
        <f t="shared" ca="1" si="4"/>
        <v>42326</v>
      </c>
      <c r="F97">
        <f t="shared" ca="1" si="5"/>
        <v>3</v>
      </c>
      <c r="G97" t="str">
        <f t="shared" ca="1" si="6"/>
        <v>Vegeterian</v>
      </c>
      <c r="H97" s="3" t="str">
        <f ca="1">r_choice(Table6[ID])</f>
        <v>B</v>
      </c>
      <c r="J97" t="str">
        <f t="shared" ca="1" si="7"/>
        <v>insert into reservation values ('R66', 'C65', 'G17', 'E15', '06-Jan-2016', 6, 'Non Smoking', 'S');</v>
      </c>
    </row>
    <row r="98" spans="1:10" x14ac:dyDescent="0.15">
      <c r="A98" t="s">
        <v>4381</v>
      </c>
      <c r="B98" t="str">
        <f ca="1">r_choice(Table3[ID])</f>
        <v>C85</v>
      </c>
      <c r="C98" t="str">
        <f ca="1">r_choice(Table10[ID])</f>
        <v>G12</v>
      </c>
      <c r="D98" t="str">
        <f ca="1">r_choice(EXCURSION!$A$2:$A$21)</f>
        <v>E18</v>
      </c>
      <c r="E98" s="2">
        <f t="shared" ca="1" si="4"/>
        <v>42154</v>
      </c>
      <c r="F98">
        <f t="shared" ca="1" si="5"/>
        <v>5</v>
      </c>
      <c r="G98" t="str">
        <f t="shared" ca="1" si="6"/>
        <v>Quiet Floor</v>
      </c>
      <c r="H98" s="3" t="str">
        <f ca="1">r_choice(Table6[ID])</f>
        <v>B</v>
      </c>
      <c r="J98" t="str">
        <f t="shared" ca="1" si="7"/>
        <v>insert into reservation values ('R67', 'C100', 'G25', 'E14', '21-Jun-2015', 4, 'Pets Allowed', 'G');</v>
      </c>
    </row>
    <row r="99" spans="1:10" x14ac:dyDescent="0.15">
      <c r="A99" t="s">
        <v>4382</v>
      </c>
      <c r="B99" t="str">
        <f ca="1">r_choice(Table3[ID])</f>
        <v>C53</v>
      </c>
      <c r="C99" t="str">
        <f ca="1">r_choice(Table10[ID])</f>
        <v>G21</v>
      </c>
      <c r="D99" t="str">
        <f ca="1">r_choice(EXCURSION!$A$2:$A$21)</f>
        <v>E03</v>
      </c>
      <c r="E99" s="2">
        <f t="shared" ca="1" si="4"/>
        <v>42243</v>
      </c>
      <c r="F99">
        <f t="shared" ca="1" si="5"/>
        <v>3</v>
      </c>
      <c r="G99" t="str">
        <f t="shared" ca="1" si="6"/>
        <v>Pets Allowed</v>
      </c>
      <c r="H99" s="3" t="str">
        <f ca="1">r_choice(Table6[ID])</f>
        <v>S</v>
      </c>
      <c r="J99" t="str">
        <f t="shared" ca="1" si="7"/>
        <v>insert into reservation values ('R68', 'C91', 'G13', 'E18', '06-Feb-2015', 2, 'Non Smoking', 'G');</v>
      </c>
    </row>
    <row r="100" spans="1:10" x14ac:dyDescent="0.15">
      <c r="A100" t="s">
        <v>4383</v>
      </c>
      <c r="B100" t="str">
        <f ca="1">r_choice(Table3[ID])</f>
        <v>C82</v>
      </c>
      <c r="C100" t="str">
        <f ca="1">r_choice(Table10[ID])</f>
        <v>G19</v>
      </c>
      <c r="D100" t="str">
        <f ca="1">r_choice(EXCURSION!$A$2:$A$21)</f>
        <v>E20</v>
      </c>
      <c r="E100" s="2">
        <f t="shared" ca="1" si="4"/>
        <v>42012</v>
      </c>
      <c r="F100">
        <f t="shared" ca="1" si="5"/>
        <v>3</v>
      </c>
      <c r="G100" t="str">
        <f t="shared" ca="1" si="6"/>
        <v>Child Proof</v>
      </c>
      <c r="H100" s="3" t="str">
        <f ca="1">r_choice(Table6[ID])</f>
        <v>P</v>
      </c>
      <c r="J100" t="str">
        <f t="shared" ca="1" si="7"/>
        <v>insert into reservation values ('R69', 'C16', 'G01', 'E01', '26-May-2015', 5, 'Pets Allowed', 'S');</v>
      </c>
    </row>
    <row r="101" spans="1:10" x14ac:dyDescent="0.15">
      <c r="A101" t="s">
        <v>4384</v>
      </c>
      <c r="B101" t="str">
        <f ca="1">r_choice(Table3[ID])</f>
        <v>C31</v>
      </c>
      <c r="C101" t="str">
        <f ca="1">r_choice(Table10[ID])</f>
        <v>G23</v>
      </c>
      <c r="D101" t="str">
        <f ca="1">r_choice(EXCURSION!$A$2:$A$21)</f>
        <v>E01</v>
      </c>
      <c r="E101" s="2">
        <f t="shared" ca="1" si="4"/>
        <v>42255</v>
      </c>
      <c r="F101">
        <f t="shared" ca="1" si="5"/>
        <v>2</v>
      </c>
      <c r="G101" t="str">
        <f t="shared" ca="1" si="6"/>
        <v>Quiet Floor</v>
      </c>
      <c r="H101" s="3" t="str">
        <f ca="1">r_choice(Table6[ID])</f>
        <v>S</v>
      </c>
      <c r="J101" t="str">
        <f t="shared" ca="1" si="7"/>
        <v>insert into reservation values ('R70', 'C37', 'G14', 'E17', '30-Sep-2015', 2, 'Quiet Floor', 'B');</v>
      </c>
    </row>
    <row r="102" spans="1:10" x14ac:dyDescent="0.15">
      <c r="A102" t="s">
        <v>4385</v>
      </c>
      <c r="B102" t="str">
        <f ca="1">r_choice(Table3[ID])</f>
        <v>C91</v>
      </c>
      <c r="C102" t="str">
        <f ca="1">r_choice(Table10[ID])</f>
        <v>G07</v>
      </c>
      <c r="D102" t="str">
        <f ca="1">r_choice(EXCURSION!$A$2:$A$21)</f>
        <v>E18</v>
      </c>
      <c r="E102" s="2">
        <f t="shared" ca="1" si="4"/>
        <v>42026</v>
      </c>
      <c r="F102">
        <f t="shared" ca="1" si="5"/>
        <v>6</v>
      </c>
      <c r="G102" t="str">
        <f t="shared" ca="1" si="6"/>
        <v>Pets Allowed</v>
      </c>
      <c r="H102" s="3" t="str">
        <f ca="1">r_choice(Table6[ID])</f>
        <v>S</v>
      </c>
      <c r="J102" t="str">
        <f t="shared" ca="1" si="7"/>
        <v>insert into reservation values ('R71', 'C04', 'G20', 'E03', '31-Dec-2015', 6, 'Vegeterian', 'P');</v>
      </c>
    </row>
    <row r="103" spans="1:10" x14ac:dyDescent="0.15">
      <c r="A103" t="s">
        <v>4386</v>
      </c>
      <c r="B103" t="str">
        <f ca="1">r_choice(Table3[ID])</f>
        <v>C43</v>
      </c>
      <c r="C103" t="str">
        <f ca="1">r_choice(Table10[ID])</f>
        <v>G14</v>
      </c>
      <c r="D103" t="str">
        <f ca="1">r_choice(EXCURSION!$A$2:$A$21)</f>
        <v>E06</v>
      </c>
      <c r="E103" s="2">
        <f t="shared" ca="1" si="4"/>
        <v>42053</v>
      </c>
      <c r="F103">
        <f t="shared" ca="1" si="5"/>
        <v>4</v>
      </c>
      <c r="G103" t="str">
        <f t="shared" ca="1" si="6"/>
        <v>Hendicaped</v>
      </c>
      <c r="H103" s="3" t="str">
        <f ca="1">r_choice(Table6[ID])</f>
        <v>B</v>
      </c>
      <c r="J103" t="str">
        <f t="shared" ca="1" si="7"/>
        <v>insert into reservation values ('R72', 'C66', 'G03', 'E01', '21-Jun-2015', 1, 'Hendicaped', 'B');</v>
      </c>
    </row>
    <row r="104" spans="1:10" x14ac:dyDescent="0.15">
      <c r="A104" t="s">
        <v>4387</v>
      </c>
      <c r="B104" t="str">
        <f ca="1">r_choice(Table3[ID])</f>
        <v>C04</v>
      </c>
      <c r="C104" t="str">
        <f ca="1">r_choice(Table10[ID])</f>
        <v>G07</v>
      </c>
      <c r="D104" t="str">
        <f ca="1">r_choice(EXCURSION!$A$2:$A$21)</f>
        <v>E20</v>
      </c>
      <c r="E104" s="2">
        <f t="shared" ca="1" si="4"/>
        <v>42011</v>
      </c>
      <c r="F104">
        <f t="shared" ca="1" si="5"/>
        <v>5</v>
      </c>
      <c r="G104" t="str">
        <f t="shared" ca="1" si="6"/>
        <v>Hendicaped</v>
      </c>
      <c r="H104" s="3" t="str">
        <f ca="1">r_choice(Table6[ID])</f>
        <v>P</v>
      </c>
      <c r="J104" t="str">
        <f t="shared" ca="1" si="7"/>
        <v>insert into reservation values ('R73', 'C26', 'G23', 'E01', '02-Mar-2015', 5, 'Quiet Floor', 'G');</v>
      </c>
    </row>
    <row r="105" spans="1:10" x14ac:dyDescent="0.15">
      <c r="A105" t="s">
        <v>4388</v>
      </c>
      <c r="B105" t="str">
        <f ca="1">r_choice(Table3[ID])</f>
        <v>C15</v>
      </c>
      <c r="C105" t="str">
        <f ca="1">r_choice(Table10[ID])</f>
        <v>G11</v>
      </c>
      <c r="D105" t="str">
        <f ca="1">r_choice(EXCURSION!$A$2:$A$21)</f>
        <v>E12</v>
      </c>
      <c r="E105" s="2">
        <f t="shared" ca="1" si="4"/>
        <v>42367</v>
      </c>
      <c r="F105">
        <f t="shared" ca="1" si="5"/>
        <v>2</v>
      </c>
      <c r="G105" t="str">
        <f t="shared" ca="1" si="6"/>
        <v>None</v>
      </c>
      <c r="H105" s="3" t="str">
        <f ca="1">r_choice(Table6[ID])</f>
        <v>G</v>
      </c>
      <c r="J105" t="str">
        <f t="shared" ca="1" si="7"/>
        <v>insert into reservation values ('R74', 'C91', 'G03', 'E16', '28-Apr-2015', 4, 'Child Proof', 'B');</v>
      </c>
    </row>
    <row r="106" spans="1:10" x14ac:dyDescent="0.15">
      <c r="A106" t="s">
        <v>4389</v>
      </c>
      <c r="B106" t="str">
        <f ca="1">r_choice(Table3[ID])</f>
        <v>C85</v>
      </c>
      <c r="C106" t="str">
        <f ca="1">r_choice(Table10[ID])</f>
        <v>G10</v>
      </c>
      <c r="D106" t="str">
        <f ca="1">r_choice(EXCURSION!$A$2:$A$21)</f>
        <v>E01</v>
      </c>
      <c r="E106" s="2">
        <f t="shared" ca="1" si="4"/>
        <v>42290</v>
      </c>
      <c r="F106">
        <f t="shared" ca="1" si="5"/>
        <v>4</v>
      </c>
      <c r="G106" t="str">
        <f t="shared" ca="1" si="6"/>
        <v>Pets Allowed</v>
      </c>
      <c r="H106" s="3" t="str">
        <f ca="1">r_choice(Table6[ID])</f>
        <v>S</v>
      </c>
      <c r="J106" t="str">
        <f t="shared" ca="1" si="7"/>
        <v>insert into reservation values ('R75', 'C89', 'G02', 'E08', '21-Sep-2015', 6, 'None', 'G');</v>
      </c>
    </row>
    <row r="107" spans="1:10" x14ac:dyDescent="0.15">
      <c r="A107" t="s">
        <v>4390</v>
      </c>
      <c r="B107" t="str">
        <f ca="1">r_choice(Table3[ID])</f>
        <v>C49</v>
      </c>
      <c r="C107" t="str">
        <f ca="1">r_choice(Table10[ID])</f>
        <v>G04</v>
      </c>
      <c r="D107" t="str">
        <f ca="1">r_choice(EXCURSION!$A$2:$A$21)</f>
        <v>E02</v>
      </c>
      <c r="E107" s="2">
        <f t="shared" ca="1" si="4"/>
        <v>42154</v>
      </c>
      <c r="F107">
        <f t="shared" ca="1" si="5"/>
        <v>4</v>
      </c>
      <c r="G107" t="str">
        <f t="shared" ca="1" si="6"/>
        <v>Vegeterian</v>
      </c>
      <c r="H107" s="3" t="str">
        <f ca="1">r_choice(Table6[ID])</f>
        <v>S</v>
      </c>
      <c r="J107" t="str">
        <f t="shared" ca="1" si="7"/>
        <v>insert into reservation values ('R76', 'C01', 'G12', 'E12', '17-Sep-2015', 5, 'Hendicaped', 'P');</v>
      </c>
    </row>
    <row r="108" spans="1:10" x14ac:dyDescent="0.15">
      <c r="A108" t="s">
        <v>4391</v>
      </c>
      <c r="B108" t="str">
        <f ca="1">r_choice(Table3[ID])</f>
        <v>C18</v>
      </c>
      <c r="C108" t="str">
        <f ca="1">r_choice(Table10[ID])</f>
        <v>G16</v>
      </c>
      <c r="D108" t="str">
        <f ca="1">r_choice(EXCURSION!$A$2:$A$21)</f>
        <v>E07</v>
      </c>
      <c r="E108" s="2">
        <f t="shared" ca="1" si="4"/>
        <v>42322</v>
      </c>
      <c r="F108">
        <f t="shared" ca="1" si="5"/>
        <v>3</v>
      </c>
      <c r="G108" t="str">
        <f t="shared" ca="1" si="6"/>
        <v>Non Smoking</v>
      </c>
      <c r="H108" s="3" t="str">
        <f ca="1">r_choice(Table6[ID])</f>
        <v>S</v>
      </c>
      <c r="J108" t="str">
        <f t="shared" ca="1" si="7"/>
        <v>insert into reservation values ('R77', 'C02', 'G01', 'E17', '07-Jun-2015', 2, 'Vegeterian', 'G');</v>
      </c>
    </row>
    <row r="109" spans="1:10" x14ac:dyDescent="0.15">
      <c r="A109" t="s">
        <v>4392</v>
      </c>
      <c r="B109" t="str">
        <f ca="1">r_choice(Table3[ID])</f>
        <v>C20</v>
      </c>
      <c r="C109" t="str">
        <f ca="1">r_choice(Table10[ID])</f>
        <v>G12</v>
      </c>
      <c r="D109" t="str">
        <f ca="1">r_choice(EXCURSION!$A$2:$A$21)</f>
        <v>E20</v>
      </c>
      <c r="E109" s="2">
        <f t="shared" ca="1" si="4"/>
        <v>42212</v>
      </c>
      <c r="F109">
        <f t="shared" ca="1" si="5"/>
        <v>5</v>
      </c>
      <c r="G109" t="str">
        <f t="shared" ca="1" si="6"/>
        <v>None</v>
      </c>
      <c r="H109" s="3" t="str">
        <f ca="1">r_choice(Table6[ID])</f>
        <v>S</v>
      </c>
      <c r="J109" t="str">
        <f t="shared" ca="1" si="7"/>
        <v>insert into reservation values ('R78', 'C52', 'G17', 'E03', '30-Sep-2015', 3, 'Non Smoking', 'S');</v>
      </c>
    </row>
    <row r="110" spans="1:10" x14ac:dyDescent="0.15">
      <c r="A110" t="s">
        <v>4393</v>
      </c>
      <c r="B110" t="str">
        <f ca="1">r_choice(Table3[ID])</f>
        <v>C85</v>
      </c>
      <c r="C110" t="str">
        <f ca="1">r_choice(Table10[ID])</f>
        <v>G05</v>
      </c>
      <c r="D110" t="str">
        <f ca="1">r_choice(EXCURSION!$A$2:$A$21)</f>
        <v>E12</v>
      </c>
      <c r="E110" s="2">
        <f t="shared" ca="1" si="4"/>
        <v>42184</v>
      </c>
      <c r="F110">
        <f t="shared" ca="1" si="5"/>
        <v>3</v>
      </c>
      <c r="G110" t="str">
        <f t="shared" ca="1" si="6"/>
        <v>Child Proof</v>
      </c>
      <c r="H110" s="3" t="str">
        <f ca="1">r_choice(Table6[ID])</f>
        <v>G</v>
      </c>
      <c r="J110" t="str">
        <f t="shared" ca="1" si="7"/>
        <v>insert into reservation values ('R79', 'C55', 'G19', 'E07', '01-Sep-2015', 4, 'Non Smoking', 'P');</v>
      </c>
    </row>
    <row r="111" spans="1:10" x14ac:dyDescent="0.15">
      <c r="A111" t="s">
        <v>4394</v>
      </c>
      <c r="B111" t="str">
        <f ca="1">r_choice(Table3[ID])</f>
        <v>C60</v>
      </c>
      <c r="C111" t="str">
        <f ca="1">r_choice(Table10[ID])</f>
        <v>G02</v>
      </c>
      <c r="D111" t="str">
        <f ca="1">r_choice(EXCURSION!$A$2:$A$21)</f>
        <v>E05</v>
      </c>
      <c r="E111" s="2">
        <f t="shared" ca="1" si="4"/>
        <v>42173</v>
      </c>
      <c r="F111">
        <f t="shared" ca="1" si="5"/>
        <v>2</v>
      </c>
      <c r="G111" t="str">
        <f t="shared" ca="1" si="6"/>
        <v>Child Proof</v>
      </c>
      <c r="H111" s="3" t="str">
        <f ca="1">r_choice(Table6[ID])</f>
        <v>B</v>
      </c>
      <c r="J111" t="str">
        <f t="shared" ca="1" si="7"/>
        <v>insert into reservation values ('R80', 'C70', 'G21', 'E03', '05-Jan-2015', 5, 'Non Smoking', 'P');</v>
      </c>
    </row>
    <row r="112" spans="1:10" x14ac:dyDescent="0.15">
      <c r="A112" t="s">
        <v>4395</v>
      </c>
      <c r="B112" t="str">
        <f ca="1">r_choice(Table3[ID])</f>
        <v>C33</v>
      </c>
      <c r="C112" t="str">
        <f ca="1">r_choice(Table10[ID])</f>
        <v>G22</v>
      </c>
      <c r="D112" t="str">
        <f ca="1">r_choice(EXCURSION!$A$2:$A$21)</f>
        <v>E19</v>
      </c>
      <c r="E112" s="2">
        <f t="shared" ca="1" si="4"/>
        <v>42185</v>
      </c>
      <c r="F112">
        <f t="shared" ca="1" si="5"/>
        <v>4</v>
      </c>
      <c r="G112" t="str">
        <f t="shared" ca="1" si="6"/>
        <v>Pets Allowed</v>
      </c>
      <c r="H112" s="3" t="str">
        <f ca="1">r_choice(Table6[ID])</f>
        <v>P</v>
      </c>
      <c r="J112" t="str">
        <f t="shared" ca="1" si="7"/>
        <v>insert into reservation values ('R81', 'C96', 'G03', 'E19', '17-Mar-2015', 1, 'None', 'G');</v>
      </c>
    </row>
    <row r="113" spans="1:10" x14ac:dyDescent="0.15">
      <c r="A113" t="s">
        <v>4396</v>
      </c>
      <c r="B113" t="str">
        <f ca="1">r_choice(Table3[ID])</f>
        <v>C65</v>
      </c>
      <c r="C113" t="str">
        <f ca="1">r_choice(Table10[ID])</f>
        <v>G10</v>
      </c>
      <c r="D113" t="str">
        <f ca="1">r_choice(EXCURSION!$A$2:$A$21)</f>
        <v>E18</v>
      </c>
      <c r="E113" s="2">
        <f t="shared" ca="1" si="4"/>
        <v>42333</v>
      </c>
      <c r="F113">
        <f t="shared" ca="1" si="5"/>
        <v>5</v>
      </c>
      <c r="G113" t="str">
        <f t="shared" ca="1" si="6"/>
        <v>Hendicaped</v>
      </c>
      <c r="H113" s="3" t="str">
        <f ca="1">r_choice(Table6[ID])</f>
        <v>S</v>
      </c>
      <c r="J113" t="str">
        <f t="shared" ca="1" si="7"/>
        <v>insert into reservation values ('R82', 'C43', 'G16', 'E19', '12-Aug-2015', 5, 'None', 'P');</v>
      </c>
    </row>
    <row r="114" spans="1:10" x14ac:dyDescent="0.15">
      <c r="A114" t="s">
        <v>4397</v>
      </c>
      <c r="B114" t="str">
        <f ca="1">r_choice(Table3[ID])</f>
        <v>C22</v>
      </c>
      <c r="C114" t="str">
        <f ca="1">r_choice(Table10[ID])</f>
        <v>G12</v>
      </c>
      <c r="D114" t="str">
        <f ca="1">r_choice(EXCURSION!$A$2:$A$21)</f>
        <v>E02</v>
      </c>
      <c r="E114" s="2">
        <f t="shared" ca="1" si="4"/>
        <v>42183</v>
      </c>
      <c r="F114">
        <f t="shared" ca="1" si="5"/>
        <v>1</v>
      </c>
      <c r="G114" t="str">
        <f t="shared" ca="1" si="6"/>
        <v>Vegeterian</v>
      </c>
      <c r="H114" s="3" t="str">
        <f ca="1">r_choice(Table6[ID])</f>
        <v>P</v>
      </c>
      <c r="J114" t="str">
        <f t="shared" ca="1" si="7"/>
        <v>insert into reservation values ('R83', 'C49', 'G11', 'E13', '13-Feb-2015', 6, 'None', 'P');</v>
      </c>
    </row>
    <row r="115" spans="1:10" x14ac:dyDescent="0.15">
      <c r="A115" t="s">
        <v>4398</v>
      </c>
      <c r="B115" t="str">
        <f ca="1">r_choice(Table3[ID])</f>
        <v>C51</v>
      </c>
      <c r="C115" t="str">
        <f ca="1">r_choice(Table10[ID])</f>
        <v>G20</v>
      </c>
      <c r="D115" t="str">
        <f ca="1">r_choice(EXCURSION!$A$2:$A$21)</f>
        <v>E20</v>
      </c>
      <c r="E115" s="2">
        <f t="shared" ca="1" si="4"/>
        <v>42037</v>
      </c>
      <c r="F115">
        <f t="shared" ca="1" si="5"/>
        <v>4</v>
      </c>
      <c r="G115" t="str">
        <f t="shared" ca="1" si="6"/>
        <v>Vegeterian</v>
      </c>
      <c r="H115" s="3" t="str">
        <f ca="1">r_choice(Table6[ID])</f>
        <v>S</v>
      </c>
      <c r="J115" t="str">
        <f t="shared" ca="1" si="7"/>
        <v>insert into reservation values ('R84', 'C15', 'G20', 'E18', '30-Oct-2015', 6, 'None', 'S');</v>
      </c>
    </row>
    <row r="116" spans="1:10" x14ac:dyDescent="0.15">
      <c r="A116" t="s">
        <v>4399</v>
      </c>
      <c r="B116" t="str">
        <f ca="1">r_choice(Table3[ID])</f>
        <v>C83</v>
      </c>
      <c r="C116" t="str">
        <f ca="1">r_choice(Table10[ID])</f>
        <v>G17</v>
      </c>
      <c r="D116" t="str">
        <f ca="1">r_choice(EXCURSION!$A$2:$A$21)</f>
        <v>E13</v>
      </c>
      <c r="E116" s="2">
        <f t="shared" ca="1" si="4"/>
        <v>42179</v>
      </c>
      <c r="F116">
        <f t="shared" ca="1" si="5"/>
        <v>2</v>
      </c>
      <c r="G116" t="str">
        <f t="shared" ca="1" si="6"/>
        <v>Hendicaped</v>
      </c>
      <c r="H116" s="3" t="str">
        <f ca="1">r_choice(Table6[ID])</f>
        <v>S</v>
      </c>
      <c r="J116" t="str">
        <f t="shared" ca="1" si="7"/>
        <v>insert into reservation values ('R85', 'C99', 'G19', 'E14', '09-Apr-2015', 2, 'None', 'P');</v>
      </c>
    </row>
    <row r="117" spans="1:10" x14ac:dyDescent="0.15">
      <c r="A117" t="s">
        <v>4400</v>
      </c>
      <c r="B117" t="str">
        <f ca="1">r_choice(Table3[ID])</f>
        <v>C11</v>
      </c>
      <c r="C117" t="str">
        <f ca="1">r_choice(Table10[ID])</f>
        <v>G23</v>
      </c>
      <c r="D117" t="str">
        <f ca="1">r_choice(EXCURSION!$A$2:$A$21)</f>
        <v>E13</v>
      </c>
      <c r="E117" s="2">
        <f t="shared" ca="1" si="4"/>
        <v>42095</v>
      </c>
      <c r="F117">
        <f t="shared" ca="1" si="5"/>
        <v>3</v>
      </c>
      <c r="G117" t="str">
        <f t="shared" ca="1" si="6"/>
        <v>Pets Allowed</v>
      </c>
      <c r="H117" s="3" t="str">
        <f ca="1">r_choice(Table6[ID])</f>
        <v>G</v>
      </c>
      <c r="J117" t="str">
        <f t="shared" ca="1" si="7"/>
        <v>insert into reservation values ('R86', 'C60', 'G20', 'E06', '16-Dec-2015', 4, 'Child Proof', 'B');</v>
      </c>
    </row>
    <row r="118" spans="1:10" x14ac:dyDescent="0.15">
      <c r="A118" t="s">
        <v>4401</v>
      </c>
      <c r="B118" t="str">
        <f ca="1">r_choice(Table3[ID])</f>
        <v>C68</v>
      </c>
      <c r="C118" t="str">
        <f ca="1">r_choice(Table10[ID])</f>
        <v>G24</v>
      </c>
      <c r="D118" t="str">
        <f ca="1">r_choice(EXCURSION!$A$2:$A$21)</f>
        <v>E01</v>
      </c>
      <c r="E118" s="2">
        <f t="shared" ca="1" si="4"/>
        <v>42227</v>
      </c>
      <c r="F118">
        <f t="shared" ca="1" si="5"/>
        <v>1</v>
      </c>
      <c r="G118" t="str">
        <f t="shared" ca="1" si="6"/>
        <v>Pets Allowed</v>
      </c>
      <c r="H118" s="3" t="str">
        <f ca="1">r_choice(Table6[ID])</f>
        <v>S</v>
      </c>
      <c r="J118" t="str">
        <f t="shared" ca="1" si="7"/>
        <v>insert into reservation values ('R87', 'C96', 'G21', 'E19', '31-May-2015', 4, 'None', 'S');</v>
      </c>
    </row>
    <row r="119" spans="1:10" x14ac:dyDescent="0.15">
      <c r="A119" t="s">
        <v>4402</v>
      </c>
      <c r="B119" t="str">
        <f ca="1">r_choice(Table3[ID])</f>
        <v>C90</v>
      </c>
      <c r="C119" t="str">
        <f ca="1">r_choice(Table10[ID])</f>
        <v>G08</v>
      </c>
      <c r="D119" t="str">
        <f ca="1">r_choice(EXCURSION!$A$2:$A$21)</f>
        <v>E09</v>
      </c>
      <c r="E119" s="2">
        <f t="shared" ca="1" si="4"/>
        <v>42177</v>
      </c>
      <c r="F119">
        <f t="shared" ca="1" si="5"/>
        <v>6</v>
      </c>
      <c r="G119" t="str">
        <f t="shared" ca="1" si="6"/>
        <v>Child Proof</v>
      </c>
      <c r="H119" s="3" t="str">
        <f ca="1">r_choice(Table6[ID])</f>
        <v>G</v>
      </c>
      <c r="J119" t="str">
        <f t="shared" ca="1" si="7"/>
        <v>insert into reservation values ('R88', 'C69', 'G17', 'E08', '04-Oct-2015', 4, 'Pets Allowed', 'P');</v>
      </c>
    </row>
    <row r="120" spans="1:10" x14ac:dyDescent="0.15">
      <c r="A120" t="s">
        <v>4403</v>
      </c>
      <c r="B120" t="str">
        <f ca="1">r_choice(Table3[ID])</f>
        <v>C69</v>
      </c>
      <c r="C120" t="str">
        <f ca="1">r_choice(Table10[ID])</f>
        <v>G23</v>
      </c>
      <c r="D120" t="str">
        <f ca="1">r_choice(EXCURSION!$A$2:$A$21)</f>
        <v>E05</v>
      </c>
      <c r="E120" s="2">
        <f t="shared" ca="1" si="4"/>
        <v>42048</v>
      </c>
      <c r="F120">
        <f t="shared" ca="1" si="5"/>
        <v>5</v>
      </c>
      <c r="G120" t="str">
        <f t="shared" ca="1" si="6"/>
        <v>Non Smoking</v>
      </c>
      <c r="H120" s="3" t="str">
        <f ca="1">r_choice(Table6[ID])</f>
        <v>S</v>
      </c>
      <c r="J120" t="str">
        <f t="shared" ca="1" si="7"/>
        <v>insert into reservation values ('R89', 'C55', 'G22', 'E16', '24-Jun-2015', 1, 'None', 'B');</v>
      </c>
    </row>
    <row r="121" spans="1:10" x14ac:dyDescent="0.15">
      <c r="A121" t="s">
        <v>4404</v>
      </c>
      <c r="B121" t="str">
        <f ca="1">r_choice(Table3[ID])</f>
        <v>C82</v>
      </c>
      <c r="C121" t="str">
        <f ca="1">r_choice(Table10[ID])</f>
        <v>G12</v>
      </c>
      <c r="D121" t="str">
        <f ca="1">r_choice(EXCURSION!$A$2:$A$21)</f>
        <v>E18</v>
      </c>
      <c r="E121" s="2">
        <f t="shared" ca="1" si="4"/>
        <v>42250</v>
      </c>
      <c r="F121">
        <f t="shared" ca="1" si="5"/>
        <v>2</v>
      </c>
      <c r="G121" t="str">
        <f t="shared" ca="1" si="6"/>
        <v>Quiet Floor</v>
      </c>
      <c r="H121" s="3" t="str">
        <f ca="1">r_choice(Table6[ID])</f>
        <v>P</v>
      </c>
      <c r="J121" t="str">
        <f t="shared" ca="1" si="7"/>
        <v>insert into reservation values ('R90', 'C77', 'G03', 'E16', '29-May-2015', 5, 'Hendicaped', 'B');</v>
      </c>
    </row>
    <row r="122" spans="1:10" x14ac:dyDescent="0.15">
      <c r="A122" t="s">
        <v>4405</v>
      </c>
      <c r="B122" t="str">
        <f ca="1">r_choice(Table3[ID])</f>
        <v>C81</v>
      </c>
      <c r="C122" t="str">
        <f ca="1">r_choice(Table10[ID])</f>
        <v>G19</v>
      </c>
      <c r="D122" t="str">
        <f ca="1">r_choice(EXCURSION!$A$2:$A$21)</f>
        <v>E05</v>
      </c>
      <c r="E122" s="2">
        <f t="shared" ca="1" si="4"/>
        <v>42314</v>
      </c>
      <c r="F122">
        <f t="shared" ca="1" si="5"/>
        <v>3</v>
      </c>
      <c r="G122" t="str">
        <f t="shared" ca="1" si="6"/>
        <v>Vegeterian</v>
      </c>
      <c r="H122" s="3" t="str">
        <f ca="1">r_choice(Table6[ID])</f>
        <v>B</v>
      </c>
      <c r="J122" t="str">
        <f t="shared" ca="1" si="7"/>
        <v>insert into reservation values ('R91', 'C44', 'G06', 'E13', '20-Jan-2015', 4, 'Non Smoking', 'G');</v>
      </c>
    </row>
    <row r="123" spans="1:10" x14ac:dyDescent="0.15">
      <c r="A123" t="s">
        <v>4406</v>
      </c>
      <c r="B123" t="str">
        <f ca="1">r_choice(Table3[ID])</f>
        <v>C08</v>
      </c>
      <c r="C123" t="str">
        <f ca="1">r_choice(Table10[ID])</f>
        <v>G18</v>
      </c>
      <c r="D123" t="str">
        <f ca="1">r_choice(EXCURSION!$A$2:$A$21)</f>
        <v>E08</v>
      </c>
      <c r="E123" s="2">
        <f t="shared" ca="1" si="4"/>
        <v>42139</v>
      </c>
      <c r="F123">
        <f t="shared" ca="1" si="5"/>
        <v>6</v>
      </c>
      <c r="G123" t="str">
        <f t="shared" ca="1" si="6"/>
        <v>Pets Allowed</v>
      </c>
      <c r="H123" s="3" t="str">
        <f ca="1">r_choice(Table6[ID])</f>
        <v>G</v>
      </c>
      <c r="J123" t="str">
        <f t="shared" ca="1" si="7"/>
        <v>insert into reservation values ('R92', 'C43', 'G01', 'E18', '30-Aug-2015', 6, 'Hendicaped', 'B');</v>
      </c>
    </row>
    <row r="124" spans="1:10" x14ac:dyDescent="0.15">
      <c r="A124" t="s">
        <v>4407</v>
      </c>
      <c r="B124" t="str">
        <f ca="1">r_choice(Table3[ID])</f>
        <v>C82</v>
      </c>
      <c r="C124" t="str">
        <f ca="1">r_choice(Table10[ID])</f>
        <v>G01</v>
      </c>
      <c r="D124" t="str">
        <f ca="1">r_choice(EXCURSION!$A$2:$A$21)</f>
        <v>E05</v>
      </c>
      <c r="E124" s="2">
        <f t="shared" ca="1" si="4"/>
        <v>42089</v>
      </c>
      <c r="F124">
        <f t="shared" ca="1" si="5"/>
        <v>3</v>
      </c>
      <c r="G124" t="str">
        <f t="shared" ca="1" si="6"/>
        <v>None</v>
      </c>
      <c r="H124" s="3" t="str">
        <f ca="1">r_choice(Table6[ID])</f>
        <v>B</v>
      </c>
      <c r="J124" t="str">
        <f t="shared" ca="1" si="7"/>
        <v>insert into reservation values ('R93', 'C38', 'G09', 'E17', '17-Apr-2015', 4, 'Non Smoking', 'P');</v>
      </c>
    </row>
    <row r="125" spans="1:10" x14ac:dyDescent="0.15">
      <c r="A125" t="s">
        <v>4408</v>
      </c>
      <c r="B125" t="str">
        <f ca="1">r_choice(Table3[ID])</f>
        <v>C69</v>
      </c>
      <c r="C125" t="str">
        <f ca="1">r_choice(Table10[ID])</f>
        <v>G19</v>
      </c>
      <c r="D125" t="str">
        <f ca="1">r_choice(EXCURSION!$A$2:$A$21)</f>
        <v>E02</v>
      </c>
      <c r="E125" s="2">
        <f t="shared" ca="1" si="4"/>
        <v>42373</v>
      </c>
      <c r="F125">
        <f t="shared" ca="1" si="5"/>
        <v>4</v>
      </c>
      <c r="G125" t="str">
        <f t="shared" ca="1" si="6"/>
        <v>Vegeterian</v>
      </c>
      <c r="H125" s="3" t="str">
        <f ca="1">r_choice(Table6[ID])</f>
        <v>P</v>
      </c>
      <c r="J125" t="str">
        <f t="shared" ca="1" si="7"/>
        <v>insert into reservation values ('R94', 'C17', 'G25', 'E01', '12-Jan-2015', 5, 'Non Smoking', 'S');</v>
      </c>
    </row>
    <row r="126" spans="1:10" x14ac:dyDescent="0.15">
      <c r="A126" t="s">
        <v>4409</v>
      </c>
      <c r="B126" t="str">
        <f ca="1">r_choice(Table3[ID])</f>
        <v>C53</v>
      </c>
      <c r="C126" t="str">
        <f ca="1">r_choice(Table10[ID])</f>
        <v>G20</v>
      </c>
      <c r="D126" t="str">
        <f ca="1">r_choice(EXCURSION!$A$2:$A$21)</f>
        <v>E10</v>
      </c>
      <c r="E126" s="2">
        <f t="shared" ca="1" si="4"/>
        <v>42295</v>
      </c>
      <c r="F126">
        <f t="shared" ca="1" si="5"/>
        <v>5</v>
      </c>
      <c r="G126" t="str">
        <f t="shared" ca="1" si="6"/>
        <v>Vegeterian</v>
      </c>
      <c r="H126" s="3" t="str">
        <f ca="1">r_choice(Table6[ID])</f>
        <v>G</v>
      </c>
      <c r="J126" t="str">
        <f t="shared" ca="1" si="7"/>
        <v>insert into reservation values ('R95', 'C24', 'G04', 'E06', '05-Sep-2015', 4, 'None', 'B');</v>
      </c>
    </row>
    <row r="127" spans="1:10" x14ac:dyDescent="0.15">
      <c r="A127" t="s">
        <v>4410</v>
      </c>
      <c r="B127" t="str">
        <f ca="1">r_choice(Table3[ID])</f>
        <v>C37</v>
      </c>
      <c r="C127" t="str">
        <f ca="1">r_choice(Table10[ID])</f>
        <v>G11</v>
      </c>
      <c r="D127" t="str">
        <f ca="1">r_choice(EXCURSION!$A$2:$A$21)</f>
        <v>E10</v>
      </c>
      <c r="E127" s="2">
        <f t="shared" ca="1" si="4"/>
        <v>42365</v>
      </c>
      <c r="F127">
        <f t="shared" ca="1" si="5"/>
        <v>4</v>
      </c>
      <c r="G127" t="str">
        <f t="shared" ca="1" si="6"/>
        <v>Pets Allowed</v>
      </c>
      <c r="H127" s="3" t="str">
        <f ca="1">r_choice(Table6[ID])</f>
        <v>S</v>
      </c>
      <c r="J127" t="str">
        <f t="shared" ca="1" si="7"/>
        <v>insert into reservation values ('R96', 'C96', 'G06', 'E01', '18-Nov-2015', 3, 'Vegeterian', 'B');</v>
      </c>
    </row>
    <row r="128" spans="1:10" x14ac:dyDescent="0.15">
      <c r="A128" t="s">
        <v>4411</v>
      </c>
      <c r="B128" t="str">
        <f ca="1">r_choice(Table3[ID])</f>
        <v>C85</v>
      </c>
      <c r="C128" t="str">
        <f ca="1">r_choice(Table10[ID])</f>
        <v>G16</v>
      </c>
      <c r="D128" t="str">
        <f ca="1">r_choice(EXCURSION!$A$2:$A$21)</f>
        <v>E05</v>
      </c>
      <c r="E128" s="2">
        <f t="shared" ca="1" si="4"/>
        <v>42157</v>
      </c>
      <c r="F128">
        <f t="shared" ca="1" si="5"/>
        <v>5</v>
      </c>
      <c r="G128" t="str">
        <f t="shared" ca="1" si="6"/>
        <v>Non Smoking</v>
      </c>
      <c r="H128" s="3" t="str">
        <f ca="1">r_choice(Table6[ID])</f>
        <v>P</v>
      </c>
      <c r="J128" t="str">
        <f t="shared" ca="1" si="7"/>
        <v>insert into reservation values ('R97', 'C85', 'G12', 'E18', '30-May-2015', 5, 'Quiet Floor', 'B');</v>
      </c>
    </row>
    <row r="129" spans="1:10" x14ac:dyDescent="0.15">
      <c r="A129" t="s">
        <v>4412</v>
      </c>
      <c r="B129" t="str">
        <f ca="1">r_choice(Table3[ID])</f>
        <v>C45</v>
      </c>
      <c r="C129" t="str">
        <f ca="1">r_choice(Table10[ID])</f>
        <v>G08</v>
      </c>
      <c r="D129" t="str">
        <f ca="1">r_choice(EXCURSION!$A$2:$A$21)</f>
        <v>E18</v>
      </c>
      <c r="E129" s="2">
        <f t="shared" ca="1" si="4"/>
        <v>42243</v>
      </c>
      <c r="F129">
        <f t="shared" ca="1" si="5"/>
        <v>5</v>
      </c>
      <c r="G129" t="str">
        <f t="shared" ca="1" si="6"/>
        <v>Non Smoking</v>
      </c>
      <c r="H129" s="3" t="str">
        <f ca="1">r_choice(Table6[ID])</f>
        <v>B</v>
      </c>
      <c r="J129" t="str">
        <f t="shared" ca="1" si="7"/>
        <v>insert into reservation values ('R98', 'C53', 'G21', 'E03', '27-Aug-2015', 3, 'Pets Allowed', 'S');</v>
      </c>
    </row>
    <row r="130" spans="1:10" x14ac:dyDescent="0.15">
      <c r="A130" t="s">
        <v>4413</v>
      </c>
      <c r="B130" t="str">
        <f ca="1">r_choice(Table3[ID])</f>
        <v>C63</v>
      </c>
      <c r="C130" t="str">
        <f ca="1">r_choice(Table10[ID])</f>
        <v>G12</v>
      </c>
      <c r="D130" t="str">
        <f ca="1">r_choice(EXCURSION!$A$2:$A$21)</f>
        <v>E19</v>
      </c>
      <c r="E130" s="2">
        <f t="shared" ref="E130:E193" ca="1" si="8">r_date(2015,1,2016,1)</f>
        <v>42080</v>
      </c>
      <c r="F130">
        <f t="shared" ref="F130:F193" ca="1" si="9">r_integer(1,6)</f>
        <v>5</v>
      </c>
      <c r="G130" t="str">
        <f t="shared" ref="G130:G193" ca="1" si="10">r_choice($I$9:$I$15)</f>
        <v>Non Smoking</v>
      </c>
      <c r="H130" s="3" t="str">
        <f ca="1">r_choice(Table6[ID])</f>
        <v>B</v>
      </c>
      <c r="J130" t="str">
        <f t="shared" ca="1" si="7"/>
        <v>insert into reservation values ('R99', 'C82', 'G19', 'E20', '08-Jan-2015', 3, 'Child Proof', 'P');</v>
      </c>
    </row>
    <row r="131" spans="1:10" x14ac:dyDescent="0.15">
      <c r="A131" t="s">
        <v>4414</v>
      </c>
      <c r="B131" t="str">
        <f ca="1">r_choice(Table3[ID])</f>
        <v>C27</v>
      </c>
      <c r="C131" t="str">
        <f ca="1">r_choice(Table10[ID])</f>
        <v>G02</v>
      </c>
      <c r="D131" t="str">
        <f ca="1">r_choice(EXCURSION!$A$2:$A$21)</f>
        <v>E02</v>
      </c>
      <c r="E131" s="2">
        <f t="shared" ca="1" si="8"/>
        <v>42018</v>
      </c>
      <c r="F131">
        <f t="shared" ca="1" si="9"/>
        <v>1</v>
      </c>
      <c r="G131" t="str">
        <f t="shared" ca="1" si="10"/>
        <v>Child Proof</v>
      </c>
      <c r="H131" s="3" t="str">
        <f ca="1">r_choice(Table6[ID])</f>
        <v>P</v>
      </c>
      <c r="J131" t="str">
        <f t="shared" ca="1" si="7"/>
        <v>insert into reservation values ('R100', 'C31', 'G23', 'E01', '08-Sep-2015', 2, 'Quiet Floor', 'S');</v>
      </c>
    </row>
    <row r="132" spans="1:10" x14ac:dyDescent="0.15">
      <c r="A132" t="s">
        <v>4415</v>
      </c>
      <c r="B132" t="str">
        <f ca="1">r_choice(Table3[ID])</f>
        <v>C86</v>
      </c>
      <c r="C132" t="str">
        <f ca="1">r_choice(Table10[ID])</f>
        <v>G01</v>
      </c>
      <c r="D132" t="str">
        <f ca="1">r_choice(EXCURSION!$A$2:$A$21)</f>
        <v>E12</v>
      </c>
      <c r="E132" s="2">
        <f t="shared" ca="1" si="8"/>
        <v>42264</v>
      </c>
      <c r="F132">
        <f t="shared" ca="1" si="9"/>
        <v>2</v>
      </c>
      <c r="G132" t="str">
        <f t="shared" ca="1" si="10"/>
        <v>Non Smoking</v>
      </c>
      <c r="H132" s="3" t="str">
        <f ca="1">r_choice(Table6[ID])</f>
        <v>P</v>
      </c>
      <c r="J132" t="str">
        <f t="shared" ca="1" si="7"/>
        <v>insert into reservation values ('R101', 'C91', 'G07', 'E18', '22-Jan-2015', 6, 'Pets Allowed', 'S');</v>
      </c>
    </row>
    <row r="133" spans="1:10" x14ac:dyDescent="0.15">
      <c r="A133" t="s">
        <v>4416</v>
      </c>
      <c r="B133" t="str">
        <f ca="1">r_choice(Table3[ID])</f>
        <v>C19</v>
      </c>
      <c r="C133" t="str">
        <f ca="1">r_choice(Table10[ID])</f>
        <v>G20</v>
      </c>
      <c r="D133" t="str">
        <f ca="1">r_choice(EXCURSION!$A$2:$A$21)</f>
        <v>E15</v>
      </c>
      <c r="E133" s="2">
        <f t="shared" ca="1" si="8"/>
        <v>42037</v>
      </c>
      <c r="F133">
        <f t="shared" ca="1" si="9"/>
        <v>4</v>
      </c>
      <c r="G133" t="str">
        <f t="shared" ca="1" si="10"/>
        <v>Vegeterian</v>
      </c>
      <c r="H133" s="3" t="str">
        <f ca="1">r_choice(Table6[ID])</f>
        <v>P</v>
      </c>
      <c r="J133" t="str">
        <f t="shared" ca="1" si="7"/>
        <v>insert into reservation values ('R102', 'C43', 'G14', 'E06', '18-Feb-2015', 4, 'Hendicaped', 'B');</v>
      </c>
    </row>
    <row r="134" spans="1:10" x14ac:dyDescent="0.15">
      <c r="A134" t="s">
        <v>4417</v>
      </c>
      <c r="B134" t="str">
        <f ca="1">r_choice(Table3[ID])</f>
        <v>C55</v>
      </c>
      <c r="C134" t="str">
        <f ca="1">r_choice(Table10[ID])</f>
        <v>G02</v>
      </c>
      <c r="D134" t="str">
        <f ca="1">r_choice(EXCURSION!$A$2:$A$21)</f>
        <v>E11</v>
      </c>
      <c r="E134" s="2">
        <f t="shared" ca="1" si="8"/>
        <v>42226</v>
      </c>
      <c r="F134">
        <f t="shared" ca="1" si="9"/>
        <v>2</v>
      </c>
      <c r="G134" t="str">
        <f t="shared" ca="1" si="10"/>
        <v>Vegeterian</v>
      </c>
      <c r="H134" s="3" t="str">
        <f ca="1">r_choice(Table6[ID])</f>
        <v>B</v>
      </c>
      <c r="J134" t="str">
        <f t="shared" ca="1" si="7"/>
        <v>insert into reservation values ('R103', 'C04', 'G07', 'E20', '07-Jan-2015', 5, 'Hendicaped', 'P');</v>
      </c>
    </row>
    <row r="135" spans="1:10" x14ac:dyDescent="0.15">
      <c r="A135" t="s">
        <v>4418</v>
      </c>
      <c r="B135" t="str">
        <f ca="1">r_choice(Table3[ID])</f>
        <v>C71</v>
      </c>
      <c r="C135" t="str">
        <f ca="1">r_choice(Table10[ID])</f>
        <v>G17</v>
      </c>
      <c r="D135" t="str">
        <f ca="1">r_choice(EXCURSION!$A$2:$A$21)</f>
        <v>E09</v>
      </c>
      <c r="E135" s="2">
        <f t="shared" ca="1" si="8"/>
        <v>42343</v>
      </c>
      <c r="F135">
        <f t="shared" ca="1" si="9"/>
        <v>3</v>
      </c>
      <c r="G135" t="str">
        <f t="shared" ca="1" si="10"/>
        <v>Vegeterian</v>
      </c>
      <c r="H135" s="3" t="str">
        <f ca="1">r_choice(Table6[ID])</f>
        <v>G</v>
      </c>
      <c r="J135" t="str">
        <f t="shared" ca="1" si="7"/>
        <v>insert into reservation values ('R104', 'C15', 'G11', 'E12', '29-Dec-2015', 2, 'None', 'G');</v>
      </c>
    </row>
    <row r="136" spans="1:10" x14ac:dyDescent="0.15">
      <c r="A136" t="s">
        <v>4419</v>
      </c>
      <c r="B136" t="str">
        <f ca="1">r_choice(Table3[ID])</f>
        <v>C100</v>
      </c>
      <c r="C136" t="str">
        <f ca="1">r_choice(Table10[ID])</f>
        <v>G14</v>
      </c>
      <c r="D136" t="str">
        <f ca="1">r_choice(EXCURSION!$A$2:$A$21)</f>
        <v>E12</v>
      </c>
      <c r="E136" s="2">
        <f t="shared" ca="1" si="8"/>
        <v>42378</v>
      </c>
      <c r="F136">
        <f t="shared" ca="1" si="9"/>
        <v>1</v>
      </c>
      <c r="G136" t="str">
        <f t="shared" ca="1" si="10"/>
        <v>Non Smoking</v>
      </c>
      <c r="H136" s="3" t="str">
        <f ca="1">r_choice(Table6[ID])</f>
        <v>B</v>
      </c>
      <c r="J136" t="str">
        <f t="shared" ca="1" si="7"/>
        <v>insert into reservation values ('R105', 'C85', 'G10', 'E01', '13-Oct-2015', 4, 'Pets Allowed', 'S');</v>
      </c>
    </row>
    <row r="137" spans="1:10" x14ac:dyDescent="0.15">
      <c r="A137" t="s">
        <v>4420</v>
      </c>
      <c r="B137" t="str">
        <f ca="1">r_choice(Table3[ID])</f>
        <v>C47</v>
      </c>
      <c r="C137" t="str">
        <f ca="1">r_choice(Table10[ID])</f>
        <v>G20</v>
      </c>
      <c r="D137" t="str">
        <f ca="1">r_choice(EXCURSION!$A$2:$A$21)</f>
        <v>E08</v>
      </c>
      <c r="E137" s="2">
        <f t="shared" ca="1" si="8"/>
        <v>42139</v>
      </c>
      <c r="F137">
        <f t="shared" ca="1" si="9"/>
        <v>4</v>
      </c>
      <c r="G137" t="str">
        <f t="shared" ca="1" si="10"/>
        <v>None</v>
      </c>
      <c r="H137" s="3" t="str">
        <f ca="1">r_choice(Table6[ID])</f>
        <v>S</v>
      </c>
      <c r="J137" t="str">
        <f t="shared" ca="1" si="7"/>
        <v>insert into reservation values ('R106', 'C49', 'G04', 'E02', '30-May-2015', 4, 'Vegeterian', 'S');</v>
      </c>
    </row>
    <row r="138" spans="1:10" x14ac:dyDescent="0.15">
      <c r="A138" t="s">
        <v>4421</v>
      </c>
      <c r="B138" t="str">
        <f ca="1">r_choice(Table3[ID])</f>
        <v>C87</v>
      </c>
      <c r="C138" t="str">
        <f ca="1">r_choice(Table10[ID])</f>
        <v>G05</v>
      </c>
      <c r="D138" t="str">
        <f ca="1">r_choice(EXCURSION!$A$2:$A$21)</f>
        <v>E16</v>
      </c>
      <c r="E138" s="2">
        <f t="shared" ca="1" si="8"/>
        <v>42162</v>
      </c>
      <c r="F138">
        <f t="shared" ca="1" si="9"/>
        <v>2</v>
      </c>
      <c r="G138" t="str">
        <f t="shared" ca="1" si="10"/>
        <v>None</v>
      </c>
      <c r="H138" s="3" t="str">
        <f ca="1">r_choice(Table6[ID])</f>
        <v>B</v>
      </c>
      <c r="J138" t="str">
        <f t="shared" ca="1" si="7"/>
        <v>insert into reservation values ('R107', 'C18', 'G16', 'E07', '14-Nov-2015', 3, 'Non Smoking', 'S');</v>
      </c>
    </row>
    <row r="139" spans="1:10" x14ac:dyDescent="0.15">
      <c r="A139" t="s">
        <v>4422</v>
      </c>
      <c r="B139" t="str">
        <f ca="1">r_choice(Table3[ID])</f>
        <v>C87</v>
      </c>
      <c r="C139" t="str">
        <f ca="1">r_choice(Table10[ID])</f>
        <v>G08</v>
      </c>
      <c r="D139" t="str">
        <f ca="1">r_choice(EXCURSION!$A$2:$A$21)</f>
        <v>E06</v>
      </c>
      <c r="E139" s="2">
        <f t="shared" ca="1" si="8"/>
        <v>42120</v>
      </c>
      <c r="F139">
        <f t="shared" ca="1" si="9"/>
        <v>2</v>
      </c>
      <c r="G139" t="str">
        <f t="shared" ca="1" si="10"/>
        <v>None</v>
      </c>
      <c r="H139" s="3" t="str">
        <f ca="1">r_choice(Table6[ID])</f>
        <v>G</v>
      </c>
      <c r="J139" t="str">
        <f t="shared" ca="1" si="7"/>
        <v>insert into reservation values ('R108', 'C20', 'G12', 'E20', '27-Jul-2015', 5, 'None', 'S');</v>
      </c>
    </row>
    <row r="140" spans="1:10" x14ac:dyDescent="0.15">
      <c r="A140" t="s">
        <v>4423</v>
      </c>
      <c r="B140" t="str">
        <f ca="1">r_choice(Table3[ID])</f>
        <v>C20</v>
      </c>
      <c r="C140" t="str">
        <f ca="1">r_choice(Table10[ID])</f>
        <v>G06</v>
      </c>
      <c r="D140" t="str">
        <f ca="1">r_choice(EXCURSION!$A$2:$A$21)</f>
        <v>E07</v>
      </c>
      <c r="E140" s="2">
        <f t="shared" ca="1" si="8"/>
        <v>42225</v>
      </c>
      <c r="F140">
        <f t="shared" ca="1" si="9"/>
        <v>4</v>
      </c>
      <c r="G140" t="str">
        <f t="shared" ca="1" si="10"/>
        <v>Quiet Floor</v>
      </c>
      <c r="H140" s="3" t="str">
        <f ca="1">r_choice(Table6[ID])</f>
        <v>S</v>
      </c>
      <c r="J140" t="str">
        <f t="shared" ca="1" si="7"/>
        <v>insert into reservation values ('R109', 'C85', 'G05', 'E12', '29-Jun-2015', 3, 'Child Proof', 'G');</v>
      </c>
    </row>
    <row r="141" spans="1:10" x14ac:dyDescent="0.15">
      <c r="A141" t="s">
        <v>4424</v>
      </c>
      <c r="B141" t="str">
        <f ca="1">r_choice(Table3[ID])</f>
        <v>C51</v>
      </c>
      <c r="C141" t="str">
        <f ca="1">r_choice(Table10[ID])</f>
        <v>G25</v>
      </c>
      <c r="D141" t="str">
        <f ca="1">r_choice(EXCURSION!$A$2:$A$21)</f>
        <v>E06</v>
      </c>
      <c r="E141" s="2">
        <f t="shared" ca="1" si="8"/>
        <v>42149</v>
      </c>
      <c r="F141">
        <f t="shared" ca="1" si="9"/>
        <v>3</v>
      </c>
      <c r="G141" t="str">
        <f t="shared" ca="1" si="10"/>
        <v>Child Proof</v>
      </c>
      <c r="H141" s="3" t="str">
        <f ca="1">r_choice(Table6[ID])</f>
        <v>S</v>
      </c>
      <c r="J141" t="str">
        <f t="shared" ca="1" si="7"/>
        <v>insert into reservation values ('R110', 'C60', 'G02', 'E05', '18-Jun-2015', 2, 'Child Proof', 'B');</v>
      </c>
    </row>
    <row r="142" spans="1:10" x14ac:dyDescent="0.15">
      <c r="A142" t="s">
        <v>4425</v>
      </c>
      <c r="B142" t="str">
        <f ca="1">r_choice(Table3[ID])</f>
        <v>C74</v>
      </c>
      <c r="C142" t="str">
        <f ca="1">r_choice(Table10[ID])</f>
        <v>G11</v>
      </c>
      <c r="D142" t="str">
        <f ca="1">r_choice(EXCURSION!$A$2:$A$21)</f>
        <v>E20</v>
      </c>
      <c r="E142" s="2">
        <f t="shared" ca="1" si="8"/>
        <v>42357</v>
      </c>
      <c r="F142">
        <f t="shared" ca="1" si="9"/>
        <v>3</v>
      </c>
      <c r="G142" t="str">
        <f t="shared" ca="1" si="10"/>
        <v>Vegeterian</v>
      </c>
      <c r="H142" s="3" t="str">
        <f ca="1">r_choice(Table6[ID])</f>
        <v>G</v>
      </c>
      <c r="J142" t="str">
        <f t="shared" ca="1" si="7"/>
        <v>insert into reservation values ('R111', 'C33', 'G22', 'E19', '30-Jun-2015', 4, 'Pets Allowed', 'P');</v>
      </c>
    </row>
    <row r="143" spans="1:10" x14ac:dyDescent="0.15">
      <c r="A143" t="s">
        <v>4426</v>
      </c>
      <c r="B143" t="str">
        <f ca="1">r_choice(Table3[ID])</f>
        <v>C53</v>
      </c>
      <c r="C143" t="str">
        <f ca="1">r_choice(Table10[ID])</f>
        <v>G16</v>
      </c>
      <c r="D143" t="str">
        <f ca="1">r_choice(EXCURSION!$A$2:$A$21)</f>
        <v>E09</v>
      </c>
      <c r="E143" s="2">
        <f t="shared" ca="1" si="8"/>
        <v>42210</v>
      </c>
      <c r="F143">
        <f t="shared" ca="1" si="9"/>
        <v>2</v>
      </c>
      <c r="G143" t="str">
        <f t="shared" ca="1" si="10"/>
        <v>Child Proof</v>
      </c>
      <c r="H143" s="3" t="str">
        <f ca="1">r_choice(Table6[ID])</f>
        <v>S</v>
      </c>
      <c r="J143" t="str">
        <f t="shared" ca="1" si="7"/>
        <v>insert into reservation values ('R112', 'C65', 'G10', 'E18', '25-Nov-2015', 5, 'Hendicaped', 'S');</v>
      </c>
    </row>
    <row r="144" spans="1:10" x14ac:dyDescent="0.15">
      <c r="A144" t="s">
        <v>4427</v>
      </c>
      <c r="B144" t="str">
        <f ca="1">r_choice(Table3[ID])</f>
        <v>C78</v>
      </c>
      <c r="C144" t="str">
        <f ca="1">r_choice(Table10[ID])</f>
        <v>G08</v>
      </c>
      <c r="D144" t="str">
        <f ca="1">r_choice(EXCURSION!$A$2:$A$21)</f>
        <v>E02</v>
      </c>
      <c r="E144" s="2">
        <f t="shared" ca="1" si="8"/>
        <v>42280</v>
      </c>
      <c r="F144">
        <f t="shared" ca="1" si="9"/>
        <v>6</v>
      </c>
      <c r="G144" t="str">
        <f t="shared" ca="1" si="10"/>
        <v>None</v>
      </c>
      <c r="H144" s="3" t="str">
        <f ca="1">r_choice(Table6[ID])</f>
        <v>G</v>
      </c>
      <c r="J144" t="str">
        <f t="shared" ca="1" si="7"/>
        <v>insert into reservation values ('R113', 'C22', 'G12', 'E02', '28-Jun-2015', 1, 'Vegeterian', 'P');</v>
      </c>
    </row>
    <row r="145" spans="1:10" x14ac:dyDescent="0.15">
      <c r="A145" t="s">
        <v>4428</v>
      </c>
      <c r="B145" t="str">
        <f ca="1">r_choice(Table3[ID])</f>
        <v>C54</v>
      </c>
      <c r="C145" t="str">
        <f ca="1">r_choice(Table10[ID])</f>
        <v>G01</v>
      </c>
      <c r="D145" t="str">
        <f ca="1">r_choice(EXCURSION!$A$2:$A$21)</f>
        <v>E04</v>
      </c>
      <c r="E145" s="2">
        <f t="shared" ca="1" si="8"/>
        <v>42263</v>
      </c>
      <c r="F145">
        <f t="shared" ca="1" si="9"/>
        <v>6</v>
      </c>
      <c r="G145" t="str">
        <f t="shared" ca="1" si="10"/>
        <v>Child Proof</v>
      </c>
      <c r="H145" s="3" t="str">
        <f ca="1">r_choice(Table6[ID])</f>
        <v>B</v>
      </c>
      <c r="J145" t="str">
        <f t="shared" ca="1" si="7"/>
        <v>insert into reservation values ('R114', 'C51', 'G20', 'E20', '02-Feb-2015', 4, 'Vegeterian', 'S');</v>
      </c>
    </row>
    <row r="146" spans="1:10" x14ac:dyDescent="0.15">
      <c r="A146" t="s">
        <v>4429</v>
      </c>
      <c r="B146" t="str">
        <f ca="1">r_choice(Table3[ID])</f>
        <v>C09</v>
      </c>
      <c r="C146" t="str">
        <f ca="1">r_choice(Table10[ID])</f>
        <v>G18</v>
      </c>
      <c r="D146" t="str">
        <f ca="1">r_choice(EXCURSION!$A$2:$A$21)</f>
        <v>E17</v>
      </c>
      <c r="E146" s="2">
        <f t="shared" ca="1" si="8"/>
        <v>42154</v>
      </c>
      <c r="F146">
        <f t="shared" ca="1" si="9"/>
        <v>6</v>
      </c>
      <c r="G146" t="str">
        <f t="shared" ca="1" si="10"/>
        <v>Hendicaped</v>
      </c>
      <c r="H146" s="3" t="str">
        <f ca="1">r_choice(Table6[ID])</f>
        <v>P</v>
      </c>
      <c r="J146" t="str">
        <f t="shared" ca="1" si="7"/>
        <v>insert into reservation values ('R115', 'C83', 'G17', 'E13', '24-Jun-2015', 2, 'Hendicaped', 'S');</v>
      </c>
    </row>
    <row r="147" spans="1:10" x14ac:dyDescent="0.15">
      <c r="A147" t="s">
        <v>4430</v>
      </c>
      <c r="B147" t="str">
        <f ca="1">r_choice(Table3[ID])</f>
        <v>C49</v>
      </c>
      <c r="C147" t="str">
        <f ca="1">r_choice(Table10[ID])</f>
        <v>G04</v>
      </c>
      <c r="D147" t="str">
        <f ca="1">r_choice(EXCURSION!$A$2:$A$21)</f>
        <v>E04</v>
      </c>
      <c r="E147" s="2">
        <f t="shared" ca="1" si="8"/>
        <v>42198</v>
      </c>
      <c r="F147">
        <f t="shared" ca="1" si="9"/>
        <v>4</v>
      </c>
      <c r="G147" t="str">
        <f t="shared" ca="1" si="10"/>
        <v>Vegeterian</v>
      </c>
      <c r="H147" s="3" t="str">
        <f ca="1">r_choice(Table6[ID])</f>
        <v>P</v>
      </c>
      <c r="J147" t="str">
        <f t="shared" ca="1" si="7"/>
        <v>insert into reservation values ('R116', 'C11', 'G23', 'E13', '01-Apr-2015', 3, 'Pets Allowed', 'G');</v>
      </c>
    </row>
    <row r="148" spans="1:10" x14ac:dyDescent="0.15">
      <c r="A148" t="s">
        <v>4431</v>
      </c>
      <c r="B148" t="str">
        <f ca="1">r_choice(Table3[ID])</f>
        <v>C13</v>
      </c>
      <c r="C148" t="str">
        <f ca="1">r_choice(Table10[ID])</f>
        <v>G14</v>
      </c>
      <c r="D148" t="str">
        <f ca="1">r_choice(EXCURSION!$A$2:$A$21)</f>
        <v>E12</v>
      </c>
      <c r="E148" s="2">
        <f t="shared" ca="1" si="8"/>
        <v>42381</v>
      </c>
      <c r="F148">
        <f t="shared" ca="1" si="9"/>
        <v>2</v>
      </c>
      <c r="G148" t="str">
        <f t="shared" ca="1" si="10"/>
        <v>Quiet Floor</v>
      </c>
      <c r="H148" s="3" t="str">
        <f ca="1">r_choice(Table6[ID])</f>
        <v>G</v>
      </c>
      <c r="J148" t="str">
        <f t="shared" ca="1" si="7"/>
        <v>insert into reservation values ('R117', 'C68', 'G24', 'E01', '11-Aug-2015', 1, 'Pets Allowed', 'S');</v>
      </c>
    </row>
    <row r="149" spans="1:10" x14ac:dyDescent="0.15">
      <c r="A149" t="s">
        <v>4432</v>
      </c>
      <c r="B149" t="str">
        <f ca="1">r_choice(Table3[ID])</f>
        <v>C68</v>
      </c>
      <c r="C149" t="str">
        <f ca="1">r_choice(Table10[ID])</f>
        <v>G16</v>
      </c>
      <c r="D149" t="str">
        <f ca="1">r_choice(EXCURSION!$A$2:$A$21)</f>
        <v>E12</v>
      </c>
      <c r="E149" s="2">
        <f t="shared" ca="1" si="8"/>
        <v>42291</v>
      </c>
      <c r="F149">
        <f t="shared" ca="1" si="9"/>
        <v>6</v>
      </c>
      <c r="G149" t="str">
        <f t="shared" ca="1" si="10"/>
        <v>Non Smoking</v>
      </c>
      <c r="H149" s="3" t="str">
        <f ca="1">r_choice(Table6[ID])</f>
        <v>S</v>
      </c>
      <c r="J149" t="str">
        <f t="shared" ca="1" si="7"/>
        <v>insert into reservation values ('R118', 'C90', 'G08', 'E09', '22-Jun-2015', 6, 'Child Proof', 'G');</v>
      </c>
    </row>
    <row r="150" spans="1:10" x14ac:dyDescent="0.15">
      <c r="A150" t="s">
        <v>4433</v>
      </c>
      <c r="B150" t="str">
        <f ca="1">r_choice(Table3[ID])</f>
        <v>C17</v>
      </c>
      <c r="C150" t="str">
        <f ca="1">r_choice(Table10[ID])</f>
        <v>G21</v>
      </c>
      <c r="D150" t="str">
        <f ca="1">r_choice(EXCURSION!$A$2:$A$21)</f>
        <v>E17</v>
      </c>
      <c r="E150" s="2">
        <f t="shared" ca="1" si="8"/>
        <v>42331</v>
      </c>
      <c r="F150">
        <f t="shared" ca="1" si="9"/>
        <v>4</v>
      </c>
      <c r="G150" t="str">
        <f t="shared" ca="1" si="10"/>
        <v>Quiet Floor</v>
      </c>
      <c r="H150" s="3" t="str">
        <f ca="1">r_choice(Table6[ID])</f>
        <v>G</v>
      </c>
      <c r="J150" t="str">
        <f t="shared" ca="1" si="7"/>
        <v>insert into reservation values ('R119', 'C69', 'G23', 'E05', '13-Feb-2015', 5, 'Non Smoking', 'S');</v>
      </c>
    </row>
    <row r="151" spans="1:10" x14ac:dyDescent="0.15">
      <c r="A151" t="s">
        <v>4434</v>
      </c>
      <c r="B151" t="str">
        <f ca="1">r_choice(Table3[ID])</f>
        <v>C37</v>
      </c>
      <c r="C151" t="str">
        <f ca="1">r_choice(Table10[ID])</f>
        <v>G03</v>
      </c>
      <c r="D151" t="str">
        <f ca="1">r_choice(EXCURSION!$A$2:$A$21)</f>
        <v>E19</v>
      </c>
      <c r="E151" s="2">
        <f t="shared" ca="1" si="8"/>
        <v>42167</v>
      </c>
      <c r="F151">
        <f t="shared" ca="1" si="9"/>
        <v>4</v>
      </c>
      <c r="G151" t="str">
        <f t="shared" ca="1" si="10"/>
        <v>Pets Allowed</v>
      </c>
      <c r="H151" s="3" t="str">
        <f ca="1">r_choice(Table6[ID])</f>
        <v>B</v>
      </c>
      <c r="J151" t="str">
        <f t="shared" ca="1" si="7"/>
        <v>insert into reservation values ('R120', 'C82', 'G12', 'E18', '03-Sep-2015', 2, 'Quiet Floor', 'P');</v>
      </c>
    </row>
    <row r="152" spans="1:10" x14ac:dyDescent="0.15">
      <c r="A152" t="s">
        <v>4435</v>
      </c>
      <c r="B152" t="str">
        <f ca="1">r_choice(Table3[ID])</f>
        <v>C33</v>
      </c>
      <c r="C152" t="str">
        <f ca="1">r_choice(Table10[ID])</f>
        <v>G23</v>
      </c>
      <c r="D152" t="str">
        <f ca="1">r_choice(EXCURSION!$A$2:$A$21)</f>
        <v>E18</v>
      </c>
      <c r="E152" s="2">
        <f t="shared" ca="1" si="8"/>
        <v>42322</v>
      </c>
      <c r="F152">
        <f t="shared" ca="1" si="9"/>
        <v>6</v>
      </c>
      <c r="G152" t="str">
        <f t="shared" ca="1" si="10"/>
        <v>Hendicaped</v>
      </c>
      <c r="H152" s="3" t="str">
        <f ca="1">r_choice(Table6[ID])</f>
        <v>S</v>
      </c>
      <c r="J152" t="str">
        <f t="shared" ca="1" si="7"/>
        <v>insert into reservation values ('R121', 'C81', 'G19', 'E05', '06-Nov-2015', 3, 'Vegeterian', 'B');</v>
      </c>
    </row>
    <row r="153" spans="1:10" x14ac:dyDescent="0.15">
      <c r="A153" t="s">
        <v>4436</v>
      </c>
      <c r="B153" t="str">
        <f ca="1">r_choice(Table3[ID])</f>
        <v>C51</v>
      </c>
      <c r="C153" t="str">
        <f ca="1">r_choice(Table10[ID])</f>
        <v>G10</v>
      </c>
      <c r="D153" t="str">
        <f ca="1">r_choice(EXCURSION!$A$2:$A$21)</f>
        <v>E05</v>
      </c>
      <c r="E153" s="2">
        <f t="shared" ca="1" si="8"/>
        <v>42245</v>
      </c>
      <c r="F153">
        <f t="shared" ca="1" si="9"/>
        <v>3</v>
      </c>
      <c r="G153" t="str">
        <f t="shared" ca="1" si="10"/>
        <v>Non Smoking</v>
      </c>
      <c r="H153" s="3" t="str">
        <f ca="1">r_choice(Table6[ID])</f>
        <v>S</v>
      </c>
      <c r="J153" t="str">
        <f t="shared" ca="1" si="7"/>
        <v>insert into reservation values ('R122', 'C08', 'G18', 'E08', '15-May-2015', 6, 'Pets Allowed', 'G');</v>
      </c>
    </row>
    <row r="154" spans="1:10" x14ac:dyDescent="0.15">
      <c r="A154" t="s">
        <v>4437</v>
      </c>
      <c r="B154" t="str">
        <f ca="1">r_choice(Table3[ID])</f>
        <v>C32</v>
      </c>
      <c r="C154" t="str">
        <f ca="1">r_choice(Table10[ID])</f>
        <v>G01</v>
      </c>
      <c r="D154" t="str">
        <f ca="1">r_choice(EXCURSION!$A$2:$A$21)</f>
        <v>E03</v>
      </c>
      <c r="E154" s="2">
        <f t="shared" ca="1" si="8"/>
        <v>42143</v>
      </c>
      <c r="F154">
        <f t="shared" ca="1" si="9"/>
        <v>3</v>
      </c>
      <c r="G154" t="str">
        <f t="shared" ca="1" si="10"/>
        <v>Hendicaped</v>
      </c>
      <c r="H154" s="3" t="str">
        <f ca="1">r_choice(Table6[ID])</f>
        <v>G</v>
      </c>
      <c r="J154" t="str">
        <f t="shared" ca="1" si="7"/>
        <v>insert into reservation values ('R123', 'C82', 'G01', 'E05', '26-Mar-2015', 3, 'None', 'B');</v>
      </c>
    </row>
    <row r="155" spans="1:10" x14ac:dyDescent="0.15">
      <c r="A155" t="s">
        <v>4438</v>
      </c>
      <c r="B155" t="str">
        <f ca="1">r_choice(Table3[ID])</f>
        <v>C25</v>
      </c>
      <c r="C155" t="str">
        <f ca="1">r_choice(Table10[ID])</f>
        <v>G14</v>
      </c>
      <c r="D155" t="str">
        <f ca="1">r_choice(EXCURSION!$A$2:$A$21)</f>
        <v>E10</v>
      </c>
      <c r="E155" s="2">
        <f t="shared" ca="1" si="8"/>
        <v>42108</v>
      </c>
      <c r="F155">
        <f t="shared" ca="1" si="9"/>
        <v>3</v>
      </c>
      <c r="G155" t="str">
        <f t="shared" ca="1" si="10"/>
        <v>None</v>
      </c>
      <c r="H155" s="3" t="str">
        <f ca="1">r_choice(Table6[ID])</f>
        <v>S</v>
      </c>
      <c r="J155" t="str">
        <f t="shared" ca="1" si="7"/>
        <v>insert into reservation values ('R124', 'C69', 'G19', 'E02', '04-Jan-2016', 4, 'Vegeterian', 'P');</v>
      </c>
    </row>
    <row r="156" spans="1:10" x14ac:dyDescent="0.15">
      <c r="A156" t="s">
        <v>4439</v>
      </c>
      <c r="B156" t="str">
        <f ca="1">r_choice(Table3[ID])</f>
        <v>C47</v>
      </c>
      <c r="C156" t="str">
        <f ca="1">r_choice(Table10[ID])</f>
        <v>G01</v>
      </c>
      <c r="D156" t="str">
        <f ca="1">r_choice(EXCURSION!$A$2:$A$21)</f>
        <v>E11</v>
      </c>
      <c r="E156" s="2">
        <f t="shared" ca="1" si="8"/>
        <v>42053</v>
      </c>
      <c r="F156">
        <f t="shared" ca="1" si="9"/>
        <v>5</v>
      </c>
      <c r="G156" t="str">
        <f t="shared" ca="1" si="10"/>
        <v>Pets Allowed</v>
      </c>
      <c r="H156" s="3" t="str">
        <f ca="1">r_choice(Table6[ID])</f>
        <v>S</v>
      </c>
      <c r="J156" t="str">
        <f t="shared" ca="1" si="7"/>
        <v>insert into reservation values ('R125', 'C53', 'G20', 'E10', '18-Oct-2015', 5, 'Vegeterian', 'G');</v>
      </c>
    </row>
    <row r="157" spans="1:10" x14ac:dyDescent="0.15">
      <c r="A157" t="s">
        <v>4440</v>
      </c>
      <c r="B157" t="str">
        <f ca="1">r_choice(Table3[ID])</f>
        <v>C30</v>
      </c>
      <c r="C157" t="str">
        <f ca="1">r_choice(Table10[ID])</f>
        <v>G05</v>
      </c>
      <c r="D157" t="str">
        <f ca="1">r_choice(EXCURSION!$A$2:$A$21)</f>
        <v>E15</v>
      </c>
      <c r="E157" s="2">
        <f t="shared" ca="1" si="8"/>
        <v>42143</v>
      </c>
      <c r="F157">
        <f t="shared" ca="1" si="9"/>
        <v>4</v>
      </c>
      <c r="G157" t="str">
        <f t="shared" ca="1" si="10"/>
        <v>Quiet Floor</v>
      </c>
      <c r="H157" s="3" t="str">
        <f ca="1">r_choice(Table6[ID])</f>
        <v>G</v>
      </c>
      <c r="J157" t="str">
        <f t="shared" ca="1" si="7"/>
        <v>insert into reservation values ('R126', 'C37', 'G11', 'E10', '27-Dec-2015', 4, 'Pets Allowed', 'S');</v>
      </c>
    </row>
    <row r="158" spans="1:10" x14ac:dyDescent="0.15">
      <c r="A158" t="s">
        <v>4441</v>
      </c>
      <c r="B158" t="str">
        <f ca="1">r_choice(Table3[ID])</f>
        <v>C63</v>
      </c>
      <c r="C158" t="str">
        <f ca="1">r_choice(Table10[ID])</f>
        <v>G11</v>
      </c>
      <c r="D158" t="str">
        <f ca="1">r_choice(EXCURSION!$A$2:$A$21)</f>
        <v>E10</v>
      </c>
      <c r="E158" s="2">
        <f t="shared" ca="1" si="8"/>
        <v>42285</v>
      </c>
      <c r="F158">
        <f t="shared" ca="1" si="9"/>
        <v>4</v>
      </c>
      <c r="G158" t="str">
        <f t="shared" ca="1" si="10"/>
        <v>Vegeterian</v>
      </c>
      <c r="H158" s="3" t="str">
        <f ca="1">r_choice(Table6[ID])</f>
        <v>S</v>
      </c>
      <c r="J158" t="str">
        <f t="shared" ca="1" si="7"/>
        <v>insert into reservation values ('R127', 'C85', 'G16', 'E05', '02-Jun-2015', 5, 'Non Smoking', 'P');</v>
      </c>
    </row>
    <row r="159" spans="1:10" x14ac:dyDescent="0.15">
      <c r="A159" t="s">
        <v>4442</v>
      </c>
      <c r="B159" t="str">
        <f ca="1">r_choice(Table3[ID])</f>
        <v>C83</v>
      </c>
      <c r="C159" t="str">
        <f ca="1">r_choice(Table10[ID])</f>
        <v>G05</v>
      </c>
      <c r="D159" t="str">
        <f ca="1">r_choice(EXCURSION!$A$2:$A$21)</f>
        <v>E14</v>
      </c>
      <c r="E159" s="2">
        <f t="shared" ca="1" si="8"/>
        <v>42116</v>
      </c>
      <c r="F159">
        <f t="shared" ca="1" si="9"/>
        <v>5</v>
      </c>
      <c r="G159" t="str">
        <f t="shared" ca="1" si="10"/>
        <v>Hendicaped</v>
      </c>
      <c r="H159" s="3" t="str">
        <f ca="1">r_choice(Table6[ID])</f>
        <v>B</v>
      </c>
      <c r="J159" t="str">
        <f t="shared" ca="1" si="7"/>
        <v>insert into reservation values ('R128', 'C45', 'G08', 'E18', '27-Aug-2015', 5, 'Non Smoking', 'B');</v>
      </c>
    </row>
    <row r="160" spans="1:10" x14ac:dyDescent="0.15">
      <c r="A160" t="s">
        <v>4443</v>
      </c>
      <c r="B160" t="str">
        <f ca="1">r_choice(Table3[ID])</f>
        <v>C07</v>
      </c>
      <c r="C160" t="str">
        <f ca="1">r_choice(Table10[ID])</f>
        <v>G16</v>
      </c>
      <c r="D160" t="str">
        <f ca="1">r_choice(EXCURSION!$A$2:$A$21)</f>
        <v>E07</v>
      </c>
      <c r="E160" s="2">
        <f t="shared" ca="1" si="8"/>
        <v>42270</v>
      </c>
      <c r="F160">
        <f t="shared" ca="1" si="9"/>
        <v>5</v>
      </c>
      <c r="G160" t="str">
        <f t="shared" ca="1" si="10"/>
        <v>None</v>
      </c>
      <c r="H160" s="3" t="str">
        <f ca="1">r_choice(Table6[ID])</f>
        <v>S</v>
      </c>
      <c r="J160" t="str">
        <f t="shared" ref="J160:J223" ca="1" si="11">insertinto(A130:H130,$J$24:$K$31,"reservation")</f>
        <v>insert into reservation values ('R129', 'C63', 'G12', 'E19', '17-Mar-2015', 5, 'Non Smoking', 'B');</v>
      </c>
    </row>
    <row r="161" spans="1:10" x14ac:dyDescent="0.15">
      <c r="A161" t="s">
        <v>4444</v>
      </c>
      <c r="B161" t="str">
        <f ca="1">r_choice(Table3[ID])</f>
        <v>C12</v>
      </c>
      <c r="C161" t="str">
        <f ca="1">r_choice(Table10[ID])</f>
        <v>G14</v>
      </c>
      <c r="D161" t="str">
        <f ca="1">r_choice(EXCURSION!$A$2:$A$21)</f>
        <v>E18</v>
      </c>
      <c r="E161" s="2">
        <f t="shared" ca="1" si="8"/>
        <v>42209</v>
      </c>
      <c r="F161">
        <f t="shared" ca="1" si="9"/>
        <v>1</v>
      </c>
      <c r="G161" t="str">
        <f t="shared" ca="1" si="10"/>
        <v>Vegeterian</v>
      </c>
      <c r="H161" s="3" t="str">
        <f ca="1">r_choice(Table6[ID])</f>
        <v>G</v>
      </c>
      <c r="J161" t="str">
        <f t="shared" ca="1" si="11"/>
        <v>insert into reservation values ('R130', 'C27', 'G02', 'E02', '14-Jan-2015', 1, 'Child Proof', 'P');</v>
      </c>
    </row>
    <row r="162" spans="1:10" x14ac:dyDescent="0.15">
      <c r="A162" t="s">
        <v>4445</v>
      </c>
      <c r="B162" t="str">
        <f ca="1">r_choice(Table3[ID])</f>
        <v>C58</v>
      </c>
      <c r="C162" t="str">
        <f ca="1">r_choice(Table10[ID])</f>
        <v>G12</v>
      </c>
      <c r="D162" t="str">
        <f ca="1">r_choice(EXCURSION!$A$2:$A$21)</f>
        <v>E03</v>
      </c>
      <c r="E162" s="2">
        <f t="shared" ca="1" si="8"/>
        <v>42318</v>
      </c>
      <c r="F162">
        <f t="shared" ca="1" si="9"/>
        <v>1</v>
      </c>
      <c r="G162" t="str">
        <f t="shared" ca="1" si="10"/>
        <v>Hendicaped</v>
      </c>
      <c r="H162" s="3" t="str">
        <f ca="1">r_choice(Table6[ID])</f>
        <v>G</v>
      </c>
      <c r="J162" t="str">
        <f t="shared" ca="1" si="11"/>
        <v>insert into reservation values ('R131', 'C86', 'G01', 'E12', '17-Sep-2015', 2, 'Non Smoking', 'P');</v>
      </c>
    </row>
    <row r="163" spans="1:10" x14ac:dyDescent="0.15">
      <c r="A163" t="s">
        <v>4446</v>
      </c>
      <c r="B163" t="str">
        <f ca="1">r_choice(Table3[ID])</f>
        <v>C90</v>
      </c>
      <c r="C163" t="str">
        <f ca="1">r_choice(Table10[ID])</f>
        <v>G16</v>
      </c>
      <c r="D163" t="str">
        <f ca="1">r_choice(EXCURSION!$A$2:$A$21)</f>
        <v>E19</v>
      </c>
      <c r="E163" s="2">
        <f t="shared" ca="1" si="8"/>
        <v>42195</v>
      </c>
      <c r="F163">
        <f t="shared" ca="1" si="9"/>
        <v>4</v>
      </c>
      <c r="G163" t="str">
        <f t="shared" ca="1" si="10"/>
        <v>Child Proof</v>
      </c>
      <c r="H163" s="3" t="str">
        <f ca="1">r_choice(Table6[ID])</f>
        <v>S</v>
      </c>
      <c r="J163" t="str">
        <f t="shared" ca="1" si="11"/>
        <v>insert into reservation values ('R132', 'C19', 'G20', 'E15', '02-Feb-2015', 4, 'Vegeterian', 'P');</v>
      </c>
    </row>
    <row r="164" spans="1:10" x14ac:dyDescent="0.15">
      <c r="A164" t="s">
        <v>4447</v>
      </c>
      <c r="B164" t="str">
        <f ca="1">r_choice(Table3[ID])</f>
        <v>C37</v>
      </c>
      <c r="C164" t="str">
        <f ca="1">r_choice(Table10[ID])</f>
        <v>G01</v>
      </c>
      <c r="D164" t="str">
        <f ca="1">r_choice(EXCURSION!$A$2:$A$21)</f>
        <v>E14</v>
      </c>
      <c r="E164" s="2">
        <f t="shared" ca="1" si="8"/>
        <v>42243</v>
      </c>
      <c r="F164">
        <f t="shared" ca="1" si="9"/>
        <v>2</v>
      </c>
      <c r="G164" t="str">
        <f t="shared" ca="1" si="10"/>
        <v>Quiet Floor</v>
      </c>
      <c r="H164" s="3" t="str">
        <f ca="1">r_choice(Table6[ID])</f>
        <v>B</v>
      </c>
      <c r="J164" t="str">
        <f t="shared" ca="1" si="11"/>
        <v>insert into reservation values ('R133', 'C55', 'G02', 'E11', '10-Aug-2015', 2, 'Vegeterian', 'B');</v>
      </c>
    </row>
    <row r="165" spans="1:10" x14ac:dyDescent="0.15">
      <c r="A165" t="s">
        <v>4448</v>
      </c>
      <c r="B165" t="str">
        <f ca="1">r_choice(Table3[ID])</f>
        <v>C74</v>
      </c>
      <c r="C165" t="str">
        <f ca="1">r_choice(Table10[ID])</f>
        <v>G11</v>
      </c>
      <c r="D165" t="str">
        <f ca="1">r_choice(EXCURSION!$A$2:$A$21)</f>
        <v>E05</v>
      </c>
      <c r="E165" s="2">
        <f t="shared" ca="1" si="8"/>
        <v>42276</v>
      </c>
      <c r="F165">
        <f t="shared" ca="1" si="9"/>
        <v>4</v>
      </c>
      <c r="G165" t="str">
        <f t="shared" ca="1" si="10"/>
        <v>Pets Allowed</v>
      </c>
      <c r="H165" s="3" t="str">
        <f ca="1">r_choice(Table6[ID])</f>
        <v>B</v>
      </c>
      <c r="J165" t="str">
        <f t="shared" ca="1" si="11"/>
        <v>insert into reservation values ('R134', 'C71', 'G17', 'E09', '05-Dec-2015', 3, 'Vegeterian', 'G');</v>
      </c>
    </row>
    <row r="166" spans="1:10" x14ac:dyDescent="0.15">
      <c r="A166" t="s">
        <v>4449</v>
      </c>
      <c r="B166" t="str">
        <f ca="1">r_choice(Table3[ID])</f>
        <v>C19</v>
      </c>
      <c r="C166" t="str">
        <f ca="1">r_choice(Table10[ID])</f>
        <v>G15</v>
      </c>
      <c r="D166" t="str">
        <f ca="1">r_choice(EXCURSION!$A$2:$A$21)</f>
        <v>E07</v>
      </c>
      <c r="E166" s="2">
        <f t="shared" ca="1" si="8"/>
        <v>42060</v>
      </c>
      <c r="F166">
        <f t="shared" ca="1" si="9"/>
        <v>5</v>
      </c>
      <c r="G166" t="str">
        <f t="shared" ca="1" si="10"/>
        <v>Quiet Floor</v>
      </c>
      <c r="H166" s="3" t="str">
        <f ca="1">r_choice(Table6[ID])</f>
        <v>B</v>
      </c>
      <c r="J166" t="str">
        <f t="shared" ca="1" si="11"/>
        <v>insert into reservation values ('R135', 'C100', 'G14', 'E12', '09-Jan-2016', 1, 'Non Smoking', 'B');</v>
      </c>
    </row>
    <row r="167" spans="1:10" x14ac:dyDescent="0.15">
      <c r="A167" t="s">
        <v>4450</v>
      </c>
      <c r="B167" t="str">
        <f ca="1">r_choice(Table3[ID])</f>
        <v>C56</v>
      </c>
      <c r="C167" t="str">
        <f ca="1">r_choice(Table10[ID])</f>
        <v>G04</v>
      </c>
      <c r="D167" t="str">
        <f ca="1">r_choice(EXCURSION!$A$2:$A$21)</f>
        <v>E12</v>
      </c>
      <c r="E167" s="2">
        <f t="shared" ca="1" si="8"/>
        <v>42058</v>
      </c>
      <c r="F167">
        <f t="shared" ca="1" si="9"/>
        <v>1</v>
      </c>
      <c r="G167" t="str">
        <f t="shared" ca="1" si="10"/>
        <v>Non Smoking</v>
      </c>
      <c r="H167" s="3" t="str">
        <f ca="1">r_choice(Table6[ID])</f>
        <v>B</v>
      </c>
      <c r="J167" t="str">
        <f t="shared" ca="1" si="11"/>
        <v>insert into reservation values ('R136', 'C47', 'G20', 'E08', '15-May-2015', 4, 'None', 'S');</v>
      </c>
    </row>
    <row r="168" spans="1:10" x14ac:dyDescent="0.15">
      <c r="A168" t="s">
        <v>4451</v>
      </c>
      <c r="B168" t="str">
        <f ca="1">r_choice(Table3[ID])</f>
        <v>C58</v>
      </c>
      <c r="C168" t="str">
        <f ca="1">r_choice(Table10[ID])</f>
        <v>G21</v>
      </c>
      <c r="D168" t="str">
        <f ca="1">r_choice(EXCURSION!$A$2:$A$21)</f>
        <v>E02</v>
      </c>
      <c r="E168" s="2">
        <f t="shared" ca="1" si="8"/>
        <v>42385</v>
      </c>
      <c r="F168">
        <f t="shared" ca="1" si="9"/>
        <v>6</v>
      </c>
      <c r="G168" t="str">
        <f t="shared" ca="1" si="10"/>
        <v>Child Proof</v>
      </c>
      <c r="H168" s="3" t="str">
        <f ca="1">r_choice(Table6[ID])</f>
        <v>P</v>
      </c>
      <c r="J168" t="str">
        <f t="shared" ca="1" si="11"/>
        <v>insert into reservation values ('R137', 'C87', 'G05', 'E16', '07-Jun-2015', 2, 'None', 'B');</v>
      </c>
    </row>
    <row r="169" spans="1:10" x14ac:dyDescent="0.15">
      <c r="A169" t="s">
        <v>4452</v>
      </c>
      <c r="B169" t="str">
        <f ca="1">r_choice(Table3[ID])</f>
        <v>C85</v>
      </c>
      <c r="C169" t="str">
        <f ca="1">r_choice(Table10[ID])</f>
        <v>G10</v>
      </c>
      <c r="D169" t="str">
        <f ca="1">r_choice(EXCURSION!$A$2:$A$21)</f>
        <v>E13</v>
      </c>
      <c r="E169" s="2">
        <f t="shared" ca="1" si="8"/>
        <v>42381</v>
      </c>
      <c r="F169">
        <f t="shared" ca="1" si="9"/>
        <v>1</v>
      </c>
      <c r="G169" t="str">
        <f t="shared" ca="1" si="10"/>
        <v>Quiet Floor</v>
      </c>
      <c r="H169" s="3" t="str">
        <f ca="1">r_choice(Table6[ID])</f>
        <v>G</v>
      </c>
      <c r="J169" t="str">
        <f t="shared" ca="1" si="11"/>
        <v>insert into reservation values ('R138', 'C87', 'G08', 'E06', '26-Apr-2015', 2, 'None', 'G');</v>
      </c>
    </row>
    <row r="170" spans="1:10" x14ac:dyDescent="0.15">
      <c r="A170" t="s">
        <v>4453</v>
      </c>
      <c r="B170" t="str">
        <f ca="1">r_choice(Table3[ID])</f>
        <v>C08</v>
      </c>
      <c r="C170" t="str">
        <f ca="1">r_choice(Table10[ID])</f>
        <v>G14</v>
      </c>
      <c r="D170" t="str">
        <f ca="1">r_choice(EXCURSION!$A$2:$A$21)</f>
        <v>E12</v>
      </c>
      <c r="E170" s="2">
        <f t="shared" ca="1" si="8"/>
        <v>42172</v>
      </c>
      <c r="F170">
        <f t="shared" ca="1" si="9"/>
        <v>2</v>
      </c>
      <c r="G170" t="str">
        <f t="shared" ca="1" si="10"/>
        <v>None</v>
      </c>
      <c r="H170" s="3" t="str">
        <f ca="1">r_choice(Table6[ID])</f>
        <v>S</v>
      </c>
      <c r="J170" t="str">
        <f t="shared" ca="1" si="11"/>
        <v>insert into reservation values ('R139', 'C20', 'G06', 'E07', '09-Aug-2015', 4, 'Quiet Floor', 'S');</v>
      </c>
    </row>
    <row r="171" spans="1:10" x14ac:dyDescent="0.15">
      <c r="A171" t="s">
        <v>4454</v>
      </c>
      <c r="B171" t="str">
        <f ca="1">r_choice(Table3[ID])</f>
        <v>C52</v>
      </c>
      <c r="C171" t="str">
        <f ca="1">r_choice(Table10[ID])</f>
        <v>G23</v>
      </c>
      <c r="D171" t="str">
        <f ca="1">r_choice(EXCURSION!$A$2:$A$21)</f>
        <v>E13</v>
      </c>
      <c r="E171" s="2">
        <f t="shared" ca="1" si="8"/>
        <v>42116</v>
      </c>
      <c r="F171">
        <f t="shared" ca="1" si="9"/>
        <v>6</v>
      </c>
      <c r="G171" t="str">
        <f t="shared" ca="1" si="10"/>
        <v>Quiet Floor</v>
      </c>
      <c r="H171" s="3" t="str">
        <f ca="1">r_choice(Table6[ID])</f>
        <v>G</v>
      </c>
      <c r="J171" t="str">
        <f t="shared" ca="1" si="11"/>
        <v>insert into reservation values ('R140', 'C51', 'G25', 'E06', '25-May-2015', 3, 'Child Proof', 'S');</v>
      </c>
    </row>
    <row r="172" spans="1:10" x14ac:dyDescent="0.15">
      <c r="A172" t="s">
        <v>4455</v>
      </c>
      <c r="B172" t="str">
        <f ca="1">r_choice(Table3[ID])</f>
        <v>C37</v>
      </c>
      <c r="C172" t="str">
        <f ca="1">r_choice(Table10[ID])</f>
        <v>G05</v>
      </c>
      <c r="D172" t="str">
        <f ca="1">r_choice(EXCURSION!$A$2:$A$21)</f>
        <v>E15</v>
      </c>
      <c r="E172" s="2">
        <f t="shared" ca="1" si="8"/>
        <v>42077</v>
      </c>
      <c r="F172">
        <f t="shared" ca="1" si="9"/>
        <v>5</v>
      </c>
      <c r="G172" t="str">
        <f t="shared" ca="1" si="10"/>
        <v>Pets Allowed</v>
      </c>
      <c r="H172" s="3" t="str">
        <f ca="1">r_choice(Table6[ID])</f>
        <v>B</v>
      </c>
      <c r="J172" t="str">
        <f t="shared" ca="1" si="11"/>
        <v>insert into reservation values ('R141', 'C74', 'G11', 'E20', '19-Dec-2015', 3, 'Vegeterian', 'G');</v>
      </c>
    </row>
    <row r="173" spans="1:10" x14ac:dyDescent="0.15">
      <c r="A173" t="s">
        <v>4456</v>
      </c>
      <c r="B173" t="str">
        <f ca="1">r_choice(Table3[ID])</f>
        <v>C44</v>
      </c>
      <c r="C173" t="str">
        <f ca="1">r_choice(Table10[ID])</f>
        <v>G09</v>
      </c>
      <c r="D173" t="str">
        <f ca="1">r_choice(EXCURSION!$A$2:$A$21)</f>
        <v>E13</v>
      </c>
      <c r="E173" s="2">
        <f t="shared" ca="1" si="8"/>
        <v>42172</v>
      </c>
      <c r="F173">
        <f t="shared" ca="1" si="9"/>
        <v>1</v>
      </c>
      <c r="G173" t="str">
        <f t="shared" ca="1" si="10"/>
        <v>Child Proof</v>
      </c>
      <c r="H173" s="3" t="str">
        <f ca="1">r_choice(Table6[ID])</f>
        <v>S</v>
      </c>
      <c r="J173" t="str">
        <f t="shared" ca="1" si="11"/>
        <v>insert into reservation values ('R142', 'C53', 'G16', 'E09', '25-Jul-2015', 2, 'Child Proof', 'S');</v>
      </c>
    </row>
    <row r="174" spans="1:10" x14ac:dyDescent="0.15">
      <c r="A174" t="s">
        <v>4457</v>
      </c>
      <c r="B174" t="str">
        <f ca="1">r_choice(Table3[ID])</f>
        <v>C09</v>
      </c>
      <c r="C174" t="str">
        <f ca="1">r_choice(Table10[ID])</f>
        <v>G01</v>
      </c>
      <c r="D174" t="str">
        <f ca="1">r_choice(EXCURSION!$A$2:$A$21)</f>
        <v>E07</v>
      </c>
      <c r="E174" s="2">
        <f t="shared" ca="1" si="8"/>
        <v>42386</v>
      </c>
      <c r="F174">
        <f t="shared" ca="1" si="9"/>
        <v>4</v>
      </c>
      <c r="G174" t="str">
        <f t="shared" ca="1" si="10"/>
        <v>Child Proof</v>
      </c>
      <c r="H174" s="3" t="str">
        <f ca="1">r_choice(Table6[ID])</f>
        <v>G</v>
      </c>
      <c r="J174" t="str">
        <f t="shared" ca="1" si="11"/>
        <v>insert into reservation values ('R143', 'C78', 'G08', 'E02', '03-Oct-2015', 6, 'None', 'G');</v>
      </c>
    </row>
    <row r="175" spans="1:10" x14ac:dyDescent="0.15">
      <c r="A175" t="s">
        <v>4458</v>
      </c>
      <c r="B175" t="str">
        <f ca="1">r_choice(Table3[ID])</f>
        <v>C41</v>
      </c>
      <c r="C175" t="str">
        <f ca="1">r_choice(Table10[ID])</f>
        <v>G16</v>
      </c>
      <c r="D175" t="str">
        <f ca="1">r_choice(EXCURSION!$A$2:$A$21)</f>
        <v>E18</v>
      </c>
      <c r="E175" s="2">
        <f t="shared" ca="1" si="8"/>
        <v>42094</v>
      </c>
      <c r="F175">
        <f t="shared" ca="1" si="9"/>
        <v>1</v>
      </c>
      <c r="G175" t="str">
        <f t="shared" ca="1" si="10"/>
        <v>Quiet Floor</v>
      </c>
      <c r="H175" s="3" t="str">
        <f ca="1">r_choice(Table6[ID])</f>
        <v>P</v>
      </c>
      <c r="J175" t="str">
        <f t="shared" ca="1" si="11"/>
        <v>insert into reservation values ('R144', 'C54', 'G01', 'E04', '16-Sep-2015', 6, 'Child Proof', 'B');</v>
      </c>
    </row>
    <row r="176" spans="1:10" x14ac:dyDescent="0.15">
      <c r="A176" t="s">
        <v>4459</v>
      </c>
      <c r="B176" t="str">
        <f ca="1">r_choice(Table3[ID])</f>
        <v>C19</v>
      </c>
      <c r="C176" t="str">
        <f ca="1">r_choice(Table10[ID])</f>
        <v>G09</v>
      </c>
      <c r="D176" t="str">
        <f ca="1">r_choice(EXCURSION!$A$2:$A$21)</f>
        <v>E20</v>
      </c>
      <c r="E176" s="2">
        <f t="shared" ca="1" si="8"/>
        <v>42237</v>
      </c>
      <c r="F176">
        <f t="shared" ca="1" si="9"/>
        <v>4</v>
      </c>
      <c r="G176" t="str">
        <f t="shared" ca="1" si="10"/>
        <v>None</v>
      </c>
      <c r="H176" s="3" t="str">
        <f ca="1">r_choice(Table6[ID])</f>
        <v>S</v>
      </c>
      <c r="J176" t="str">
        <f t="shared" ca="1" si="11"/>
        <v>insert into reservation values ('R145', 'C09', 'G18', 'E17', '30-May-2015', 6, 'Hendicaped', 'P');</v>
      </c>
    </row>
    <row r="177" spans="1:10" x14ac:dyDescent="0.15">
      <c r="A177" t="s">
        <v>4460</v>
      </c>
      <c r="B177" t="str">
        <f ca="1">r_choice(Table3[ID])</f>
        <v>C02</v>
      </c>
      <c r="C177" t="str">
        <f ca="1">r_choice(Table10[ID])</f>
        <v>G24</v>
      </c>
      <c r="D177" t="str">
        <f ca="1">r_choice(EXCURSION!$A$2:$A$21)</f>
        <v>E04</v>
      </c>
      <c r="E177" s="2">
        <f t="shared" ca="1" si="8"/>
        <v>42292</v>
      </c>
      <c r="F177">
        <f t="shared" ca="1" si="9"/>
        <v>5</v>
      </c>
      <c r="G177" t="str">
        <f t="shared" ca="1" si="10"/>
        <v>Child Proof</v>
      </c>
      <c r="H177" s="3" t="str">
        <f ca="1">r_choice(Table6[ID])</f>
        <v>S</v>
      </c>
      <c r="J177" t="str">
        <f t="shared" ca="1" si="11"/>
        <v>insert into reservation values ('R146', 'C49', 'G04', 'E04', '13-Jul-2015', 4, 'Vegeterian', 'P');</v>
      </c>
    </row>
    <row r="178" spans="1:10" x14ac:dyDescent="0.15">
      <c r="A178" t="s">
        <v>4461</v>
      </c>
      <c r="B178" t="str">
        <f ca="1">r_choice(Table3[ID])</f>
        <v>C31</v>
      </c>
      <c r="C178" t="str">
        <f ca="1">r_choice(Table10[ID])</f>
        <v>G02</v>
      </c>
      <c r="D178" t="str">
        <f ca="1">r_choice(EXCURSION!$A$2:$A$21)</f>
        <v>E08</v>
      </c>
      <c r="E178" s="2">
        <f t="shared" ca="1" si="8"/>
        <v>42091</v>
      </c>
      <c r="F178">
        <f t="shared" ca="1" si="9"/>
        <v>5</v>
      </c>
      <c r="G178" t="str">
        <f t="shared" ca="1" si="10"/>
        <v>Vegeterian</v>
      </c>
      <c r="H178" s="3" t="str">
        <f ca="1">r_choice(Table6[ID])</f>
        <v>P</v>
      </c>
      <c r="J178" t="str">
        <f t="shared" ca="1" si="11"/>
        <v>insert into reservation values ('R147', 'C13', 'G14', 'E12', '12-Jan-2016', 2, 'Quiet Floor', 'G');</v>
      </c>
    </row>
    <row r="179" spans="1:10" x14ac:dyDescent="0.15">
      <c r="A179" t="s">
        <v>4462</v>
      </c>
      <c r="B179" t="str">
        <f ca="1">r_choice(Table3[ID])</f>
        <v>C46</v>
      </c>
      <c r="C179" t="str">
        <f ca="1">r_choice(Table10[ID])</f>
        <v>G01</v>
      </c>
      <c r="D179" t="str">
        <f ca="1">r_choice(EXCURSION!$A$2:$A$21)</f>
        <v>E18</v>
      </c>
      <c r="E179" s="2">
        <f t="shared" ca="1" si="8"/>
        <v>42020</v>
      </c>
      <c r="F179">
        <f t="shared" ca="1" si="9"/>
        <v>5</v>
      </c>
      <c r="G179" t="str">
        <f t="shared" ca="1" si="10"/>
        <v>Non Smoking</v>
      </c>
      <c r="H179" s="3" t="str">
        <f ca="1">r_choice(Table6[ID])</f>
        <v>S</v>
      </c>
      <c r="J179" t="str">
        <f t="shared" ca="1" si="11"/>
        <v>insert into reservation values ('R148', 'C68', 'G16', 'E12', '14-Oct-2015', 6, 'Non Smoking', 'S');</v>
      </c>
    </row>
    <row r="180" spans="1:10" x14ac:dyDescent="0.15">
      <c r="A180" t="s">
        <v>4463</v>
      </c>
      <c r="B180" t="str">
        <f ca="1">r_choice(Table3[ID])</f>
        <v>C40</v>
      </c>
      <c r="C180" t="str">
        <f ca="1">r_choice(Table10[ID])</f>
        <v>G08</v>
      </c>
      <c r="D180" t="str">
        <f ca="1">r_choice(EXCURSION!$A$2:$A$21)</f>
        <v>E15</v>
      </c>
      <c r="E180" s="2">
        <f t="shared" ca="1" si="8"/>
        <v>42358</v>
      </c>
      <c r="F180">
        <f t="shared" ca="1" si="9"/>
        <v>2</v>
      </c>
      <c r="G180" t="str">
        <f t="shared" ca="1" si="10"/>
        <v>Child Proof</v>
      </c>
      <c r="H180" s="3" t="str">
        <f ca="1">r_choice(Table6[ID])</f>
        <v>S</v>
      </c>
      <c r="J180" t="str">
        <f t="shared" ca="1" si="11"/>
        <v>insert into reservation values ('R149', 'C17', 'G21', 'E17', '23-Nov-2015', 4, 'Quiet Floor', 'G');</v>
      </c>
    </row>
    <row r="181" spans="1:10" x14ac:dyDescent="0.15">
      <c r="A181" t="s">
        <v>4464</v>
      </c>
      <c r="B181" t="str">
        <f ca="1">r_choice(Table3[ID])</f>
        <v>C49</v>
      </c>
      <c r="C181" t="str">
        <f ca="1">r_choice(Table10[ID])</f>
        <v>G05</v>
      </c>
      <c r="D181" t="str">
        <f ca="1">r_choice(EXCURSION!$A$2:$A$21)</f>
        <v>E19</v>
      </c>
      <c r="E181" s="2">
        <f t="shared" ca="1" si="8"/>
        <v>42203</v>
      </c>
      <c r="F181">
        <f t="shared" ca="1" si="9"/>
        <v>5</v>
      </c>
      <c r="G181" t="str">
        <f t="shared" ca="1" si="10"/>
        <v>Vegeterian</v>
      </c>
      <c r="H181" s="3" t="str">
        <f ca="1">r_choice(Table6[ID])</f>
        <v>B</v>
      </c>
      <c r="J181" t="str">
        <f t="shared" ca="1" si="11"/>
        <v>insert into reservation values ('R150', 'C37', 'G03', 'E19', '12-Jun-2015', 4, 'Pets Allowed', 'B');</v>
      </c>
    </row>
    <row r="182" spans="1:10" x14ac:dyDescent="0.15">
      <c r="A182" t="s">
        <v>4465</v>
      </c>
      <c r="B182" t="str">
        <f ca="1">r_choice(Table3[ID])</f>
        <v>C72</v>
      </c>
      <c r="C182" t="str">
        <f ca="1">r_choice(Table10[ID])</f>
        <v>G15</v>
      </c>
      <c r="D182" t="str">
        <f ca="1">r_choice(EXCURSION!$A$2:$A$21)</f>
        <v>E09</v>
      </c>
      <c r="E182" s="2">
        <f t="shared" ca="1" si="8"/>
        <v>42116</v>
      </c>
      <c r="F182">
        <f t="shared" ca="1" si="9"/>
        <v>1</v>
      </c>
      <c r="G182" t="str">
        <f t="shared" ca="1" si="10"/>
        <v>Child Proof</v>
      </c>
      <c r="H182" s="3" t="str">
        <f ca="1">r_choice(Table6[ID])</f>
        <v>S</v>
      </c>
      <c r="J182" t="str">
        <f t="shared" ca="1" si="11"/>
        <v>insert into reservation values ('R151', 'C33', 'G23', 'E18', '14-Nov-2015', 6, 'Hendicaped', 'S');</v>
      </c>
    </row>
    <row r="183" spans="1:10" x14ac:dyDescent="0.15">
      <c r="A183" t="s">
        <v>4466</v>
      </c>
      <c r="B183" t="str">
        <f ca="1">r_choice(Table3[ID])</f>
        <v>C91</v>
      </c>
      <c r="C183" t="str">
        <f ca="1">r_choice(Table10[ID])</f>
        <v>G10</v>
      </c>
      <c r="D183" t="str">
        <f ca="1">r_choice(EXCURSION!$A$2:$A$21)</f>
        <v>E02</v>
      </c>
      <c r="E183" s="2">
        <f t="shared" ca="1" si="8"/>
        <v>42028</v>
      </c>
      <c r="F183">
        <f t="shared" ca="1" si="9"/>
        <v>5</v>
      </c>
      <c r="G183" t="str">
        <f t="shared" ca="1" si="10"/>
        <v>Hendicaped</v>
      </c>
      <c r="H183" s="3" t="str">
        <f ca="1">r_choice(Table6[ID])</f>
        <v>P</v>
      </c>
      <c r="J183" t="str">
        <f t="shared" ca="1" si="11"/>
        <v>insert into reservation values ('R152', 'C51', 'G10', 'E05', '29-Aug-2015', 3, 'Non Smoking', 'S');</v>
      </c>
    </row>
    <row r="184" spans="1:10" x14ac:dyDescent="0.15">
      <c r="A184" t="s">
        <v>4467</v>
      </c>
      <c r="B184" t="str">
        <f ca="1">r_choice(Table3[ID])</f>
        <v>C86</v>
      </c>
      <c r="C184" t="str">
        <f ca="1">r_choice(Table10[ID])</f>
        <v>G03</v>
      </c>
      <c r="D184" t="str">
        <f ca="1">r_choice(EXCURSION!$A$2:$A$21)</f>
        <v>E02</v>
      </c>
      <c r="E184" s="2">
        <f t="shared" ca="1" si="8"/>
        <v>42284</v>
      </c>
      <c r="F184">
        <f t="shared" ca="1" si="9"/>
        <v>2</v>
      </c>
      <c r="G184" t="str">
        <f t="shared" ca="1" si="10"/>
        <v>None</v>
      </c>
      <c r="H184" s="3" t="str">
        <f ca="1">r_choice(Table6[ID])</f>
        <v>B</v>
      </c>
      <c r="J184" t="str">
        <f t="shared" ca="1" si="11"/>
        <v>insert into reservation values ('R153', 'C32', 'G01', 'E03', '19-May-2015', 3, 'Hendicaped', 'G');</v>
      </c>
    </row>
    <row r="185" spans="1:10" x14ac:dyDescent="0.15">
      <c r="A185" t="s">
        <v>4468</v>
      </c>
      <c r="B185" t="str">
        <f ca="1">r_choice(Table3[ID])</f>
        <v>C93</v>
      </c>
      <c r="C185" t="str">
        <f ca="1">r_choice(Table10[ID])</f>
        <v>G18</v>
      </c>
      <c r="D185" t="str">
        <f ca="1">r_choice(EXCURSION!$A$2:$A$21)</f>
        <v>E14</v>
      </c>
      <c r="E185" s="2">
        <f t="shared" ca="1" si="8"/>
        <v>42363</v>
      </c>
      <c r="F185">
        <f t="shared" ca="1" si="9"/>
        <v>4</v>
      </c>
      <c r="G185" t="str">
        <f t="shared" ca="1" si="10"/>
        <v>Pets Allowed</v>
      </c>
      <c r="H185" s="3" t="str">
        <f ca="1">r_choice(Table6[ID])</f>
        <v>B</v>
      </c>
      <c r="J185" t="str">
        <f t="shared" ca="1" si="11"/>
        <v>insert into reservation values ('R154', 'C25', 'G14', 'E10', '14-Apr-2015', 3, 'None', 'S');</v>
      </c>
    </row>
    <row r="186" spans="1:10" x14ac:dyDescent="0.15">
      <c r="A186" t="s">
        <v>4469</v>
      </c>
      <c r="B186" t="str">
        <f ca="1">r_choice(Table3[ID])</f>
        <v>C44</v>
      </c>
      <c r="C186" t="str">
        <f ca="1">r_choice(Table10[ID])</f>
        <v>G01</v>
      </c>
      <c r="D186" t="str">
        <f ca="1">r_choice(EXCURSION!$A$2:$A$21)</f>
        <v>E13</v>
      </c>
      <c r="E186" s="2">
        <f t="shared" ca="1" si="8"/>
        <v>42162</v>
      </c>
      <c r="F186">
        <f t="shared" ca="1" si="9"/>
        <v>2</v>
      </c>
      <c r="G186" t="str">
        <f t="shared" ca="1" si="10"/>
        <v>Vegeterian</v>
      </c>
      <c r="H186" s="3" t="str">
        <f ca="1">r_choice(Table6[ID])</f>
        <v>S</v>
      </c>
      <c r="J186" t="str">
        <f t="shared" ca="1" si="11"/>
        <v>insert into reservation values ('R155', 'C47', 'G01', 'E11', '18-Feb-2015', 5, 'Pets Allowed', 'S');</v>
      </c>
    </row>
    <row r="187" spans="1:10" x14ac:dyDescent="0.15">
      <c r="A187" t="s">
        <v>4470</v>
      </c>
      <c r="B187" t="str">
        <f ca="1">r_choice(Table3[ID])</f>
        <v>C74</v>
      </c>
      <c r="C187" t="str">
        <f ca="1">r_choice(Table10[ID])</f>
        <v>G24</v>
      </c>
      <c r="D187" t="str">
        <f ca="1">r_choice(EXCURSION!$A$2:$A$21)</f>
        <v>E07</v>
      </c>
      <c r="E187" s="2">
        <f t="shared" ca="1" si="8"/>
        <v>42157</v>
      </c>
      <c r="F187">
        <f t="shared" ca="1" si="9"/>
        <v>4</v>
      </c>
      <c r="G187" t="str">
        <f t="shared" ca="1" si="10"/>
        <v>Vegeterian</v>
      </c>
      <c r="H187" s="3" t="str">
        <f ca="1">r_choice(Table6[ID])</f>
        <v>B</v>
      </c>
      <c r="J187" t="str">
        <f t="shared" ca="1" si="11"/>
        <v>insert into reservation values ('R156', 'C30', 'G05', 'E15', '19-May-2015', 4, 'Quiet Floor', 'G');</v>
      </c>
    </row>
    <row r="188" spans="1:10" x14ac:dyDescent="0.15">
      <c r="A188" t="s">
        <v>4471</v>
      </c>
      <c r="B188" t="str">
        <f ca="1">r_choice(Table3[ID])</f>
        <v>C49</v>
      </c>
      <c r="C188" t="str">
        <f ca="1">r_choice(Table10[ID])</f>
        <v>G12</v>
      </c>
      <c r="D188" t="str">
        <f ca="1">r_choice(EXCURSION!$A$2:$A$21)</f>
        <v>E17</v>
      </c>
      <c r="E188" s="2">
        <f t="shared" ca="1" si="8"/>
        <v>42014</v>
      </c>
      <c r="F188">
        <f t="shared" ca="1" si="9"/>
        <v>5</v>
      </c>
      <c r="G188" t="str">
        <f t="shared" ca="1" si="10"/>
        <v>Non Smoking</v>
      </c>
      <c r="H188" s="3" t="str">
        <f ca="1">r_choice(Table6[ID])</f>
        <v>S</v>
      </c>
      <c r="J188" t="str">
        <f t="shared" ca="1" si="11"/>
        <v>insert into reservation values ('R157', 'C63', 'G11', 'E10', '08-Oct-2015', 4, 'Vegeterian', 'S');</v>
      </c>
    </row>
    <row r="189" spans="1:10" x14ac:dyDescent="0.15">
      <c r="A189" t="s">
        <v>4472</v>
      </c>
      <c r="B189" t="str">
        <f ca="1">r_choice(Table3[ID])</f>
        <v>C29</v>
      </c>
      <c r="C189" t="str">
        <f ca="1">r_choice(Table10[ID])</f>
        <v>G13</v>
      </c>
      <c r="D189" t="str">
        <f ca="1">r_choice(EXCURSION!$A$2:$A$21)</f>
        <v>E03</v>
      </c>
      <c r="E189" s="2">
        <f t="shared" ca="1" si="8"/>
        <v>42050</v>
      </c>
      <c r="F189">
        <f t="shared" ca="1" si="9"/>
        <v>1</v>
      </c>
      <c r="G189" t="str">
        <f t="shared" ca="1" si="10"/>
        <v>Quiet Floor</v>
      </c>
      <c r="H189" s="3" t="str">
        <f ca="1">r_choice(Table6[ID])</f>
        <v>B</v>
      </c>
      <c r="J189" t="str">
        <f t="shared" ca="1" si="11"/>
        <v>insert into reservation values ('R158', 'C83', 'G05', 'E14', '22-Apr-2015', 5, 'Hendicaped', 'B');</v>
      </c>
    </row>
    <row r="190" spans="1:10" x14ac:dyDescent="0.15">
      <c r="A190" t="s">
        <v>4473</v>
      </c>
      <c r="B190" t="str">
        <f ca="1">r_choice(Table3[ID])</f>
        <v>C15</v>
      </c>
      <c r="C190" t="str">
        <f ca="1">r_choice(Table10[ID])</f>
        <v>G13</v>
      </c>
      <c r="D190" t="str">
        <f ca="1">r_choice(EXCURSION!$A$2:$A$21)</f>
        <v>E20</v>
      </c>
      <c r="E190" s="2">
        <f t="shared" ca="1" si="8"/>
        <v>42179</v>
      </c>
      <c r="F190">
        <f t="shared" ca="1" si="9"/>
        <v>6</v>
      </c>
      <c r="G190" t="str">
        <f t="shared" ca="1" si="10"/>
        <v>Quiet Floor</v>
      </c>
      <c r="H190" s="3" t="str">
        <f ca="1">r_choice(Table6[ID])</f>
        <v>G</v>
      </c>
      <c r="J190" t="str">
        <f t="shared" ca="1" si="11"/>
        <v>insert into reservation values ('R159', 'C07', 'G16', 'E07', '23-Sep-2015', 5, 'None', 'S');</v>
      </c>
    </row>
    <row r="191" spans="1:10" x14ac:dyDescent="0.15">
      <c r="A191" t="s">
        <v>4474</v>
      </c>
      <c r="B191" t="str">
        <f ca="1">r_choice(Table3[ID])</f>
        <v>C34</v>
      </c>
      <c r="C191" t="str">
        <f ca="1">r_choice(Table10[ID])</f>
        <v>G12</v>
      </c>
      <c r="D191" t="str">
        <f ca="1">r_choice(EXCURSION!$A$2:$A$21)</f>
        <v>E16</v>
      </c>
      <c r="E191" s="2">
        <f t="shared" ca="1" si="8"/>
        <v>42157</v>
      </c>
      <c r="F191">
        <f t="shared" ca="1" si="9"/>
        <v>6</v>
      </c>
      <c r="G191" t="str">
        <f t="shared" ca="1" si="10"/>
        <v>Pets Allowed</v>
      </c>
      <c r="H191" s="3" t="str">
        <f ca="1">r_choice(Table6[ID])</f>
        <v>B</v>
      </c>
      <c r="J191" t="str">
        <f t="shared" ca="1" si="11"/>
        <v>insert into reservation values ('R160', 'C12', 'G14', 'E18', '24-Jul-2015', 1, 'Vegeterian', 'G');</v>
      </c>
    </row>
    <row r="192" spans="1:10" x14ac:dyDescent="0.15">
      <c r="A192" t="s">
        <v>4475</v>
      </c>
      <c r="B192" t="str">
        <f ca="1">r_choice(Table3[ID])</f>
        <v>C94</v>
      </c>
      <c r="C192" t="str">
        <f ca="1">r_choice(Table10[ID])</f>
        <v>G08</v>
      </c>
      <c r="D192" t="str">
        <f ca="1">r_choice(EXCURSION!$A$2:$A$21)</f>
        <v>E17</v>
      </c>
      <c r="E192" s="2">
        <f t="shared" ca="1" si="8"/>
        <v>42293</v>
      </c>
      <c r="F192">
        <f t="shared" ca="1" si="9"/>
        <v>6</v>
      </c>
      <c r="G192" t="str">
        <f t="shared" ca="1" si="10"/>
        <v>Non Smoking</v>
      </c>
      <c r="H192" s="3" t="str">
        <f ca="1">r_choice(Table6[ID])</f>
        <v>P</v>
      </c>
      <c r="J192" t="str">
        <f t="shared" ca="1" si="11"/>
        <v>insert into reservation values ('R161', 'C58', 'G12', 'E03', '10-Nov-2015', 1, 'Hendicaped', 'G');</v>
      </c>
    </row>
    <row r="193" spans="1:10" x14ac:dyDescent="0.15">
      <c r="A193" t="s">
        <v>4476</v>
      </c>
      <c r="B193" t="str">
        <f ca="1">r_choice(Table3[ID])</f>
        <v>C32</v>
      </c>
      <c r="C193" t="str">
        <f ca="1">r_choice(Table10[ID])</f>
        <v>G07</v>
      </c>
      <c r="D193" t="str">
        <f ca="1">r_choice(EXCURSION!$A$2:$A$21)</f>
        <v>E06</v>
      </c>
      <c r="E193" s="2">
        <f t="shared" ca="1" si="8"/>
        <v>42325</v>
      </c>
      <c r="F193">
        <f t="shared" ca="1" si="9"/>
        <v>5</v>
      </c>
      <c r="G193" t="str">
        <f t="shared" ca="1" si="10"/>
        <v>Hendicaped</v>
      </c>
      <c r="H193" s="3" t="str">
        <f ca="1">r_choice(Table6[ID])</f>
        <v>G</v>
      </c>
      <c r="J193" t="str">
        <f t="shared" ca="1" si="11"/>
        <v>insert into reservation values ('R162', 'C90', 'G16', 'E19', '10-Jul-2015', 4, 'Child Proof', 'S');</v>
      </c>
    </row>
    <row r="194" spans="1:10" x14ac:dyDescent="0.15">
      <c r="A194" t="s">
        <v>4477</v>
      </c>
      <c r="B194" t="str">
        <f ca="1">r_choice(Table3[ID])</f>
        <v>C89</v>
      </c>
      <c r="C194" t="str">
        <f ca="1">r_choice(Table10[ID])</f>
        <v>G18</v>
      </c>
      <c r="D194" t="str">
        <f ca="1">r_choice(EXCURSION!$A$2:$A$21)</f>
        <v>E17</v>
      </c>
      <c r="E194" s="2">
        <f t="shared" ref="E194:E251" ca="1" si="12">r_date(2015,1,2016,1)</f>
        <v>42177</v>
      </c>
      <c r="F194">
        <f t="shared" ref="F194:F251" ca="1" si="13">r_integer(1,6)</f>
        <v>1</v>
      </c>
      <c r="G194" t="str">
        <f t="shared" ref="G194:G257" ca="1" si="14">r_choice($I$9:$I$15)</f>
        <v>None</v>
      </c>
      <c r="H194" s="3" t="str">
        <f ca="1">r_choice(Table6[ID])</f>
        <v>G</v>
      </c>
      <c r="J194" t="str">
        <f t="shared" ca="1" si="11"/>
        <v>insert into reservation values ('R163', 'C37', 'G01', 'E14', '27-Aug-2015', 2, 'Quiet Floor', 'B');</v>
      </c>
    </row>
    <row r="195" spans="1:10" x14ac:dyDescent="0.15">
      <c r="A195" t="s">
        <v>4478</v>
      </c>
      <c r="B195" t="str">
        <f ca="1">r_choice(Table3[ID])</f>
        <v>C09</v>
      </c>
      <c r="C195" t="str">
        <f ca="1">r_choice(Table10[ID])</f>
        <v>G21</v>
      </c>
      <c r="D195" t="str">
        <f ca="1">r_choice(EXCURSION!$A$2:$A$21)</f>
        <v>E17</v>
      </c>
      <c r="E195" s="2">
        <f t="shared" ca="1" si="12"/>
        <v>42082</v>
      </c>
      <c r="F195">
        <f t="shared" ca="1" si="13"/>
        <v>6</v>
      </c>
      <c r="G195" t="str">
        <f t="shared" ca="1" si="14"/>
        <v>Hendicaped</v>
      </c>
      <c r="H195" s="3" t="str">
        <f ca="1">r_choice(Table6[ID])</f>
        <v>P</v>
      </c>
      <c r="J195" t="str">
        <f t="shared" ca="1" si="11"/>
        <v>insert into reservation values ('R164', 'C74', 'G11', 'E05', '29-Sep-2015', 4, 'Pets Allowed', 'B');</v>
      </c>
    </row>
    <row r="196" spans="1:10" x14ac:dyDescent="0.15">
      <c r="A196" t="s">
        <v>4479</v>
      </c>
      <c r="B196" t="str">
        <f ca="1">r_choice(Table3[ID])</f>
        <v>C13</v>
      </c>
      <c r="C196" t="str">
        <f ca="1">r_choice(Table10[ID])</f>
        <v>G02</v>
      </c>
      <c r="D196" t="str">
        <f ca="1">r_choice(EXCURSION!$A$2:$A$21)</f>
        <v>E12</v>
      </c>
      <c r="E196" s="2">
        <f t="shared" ca="1" si="12"/>
        <v>42046</v>
      </c>
      <c r="F196">
        <f t="shared" ca="1" si="13"/>
        <v>5</v>
      </c>
      <c r="G196" t="str">
        <f t="shared" ca="1" si="14"/>
        <v>Vegeterian</v>
      </c>
      <c r="H196" s="3" t="str">
        <f ca="1">r_choice(Table6[ID])</f>
        <v>P</v>
      </c>
      <c r="J196" t="str">
        <f t="shared" ca="1" si="11"/>
        <v>insert into reservation values ('R165', 'C19', 'G15', 'E07', '25-Feb-2015', 5, 'Quiet Floor', 'B');</v>
      </c>
    </row>
    <row r="197" spans="1:10" x14ac:dyDescent="0.15">
      <c r="A197" t="s">
        <v>4480</v>
      </c>
      <c r="B197" t="str">
        <f ca="1">r_choice(Table3[ID])</f>
        <v>C39</v>
      </c>
      <c r="C197" t="str">
        <f ca="1">r_choice(Table10[ID])</f>
        <v>G01</v>
      </c>
      <c r="D197" t="str">
        <f ca="1">r_choice(EXCURSION!$A$2:$A$21)</f>
        <v>E15</v>
      </c>
      <c r="E197" s="2">
        <f t="shared" ca="1" si="12"/>
        <v>42281</v>
      </c>
      <c r="F197">
        <f t="shared" ca="1" si="13"/>
        <v>3</v>
      </c>
      <c r="G197" t="str">
        <f t="shared" ca="1" si="14"/>
        <v>Child Proof</v>
      </c>
      <c r="H197" s="3" t="str">
        <f ca="1">r_choice(Table6[ID])</f>
        <v>S</v>
      </c>
      <c r="J197" t="str">
        <f t="shared" ca="1" si="11"/>
        <v>insert into reservation values ('R166', 'C56', 'G04', 'E12', '23-Feb-2015', 1, 'Non Smoking', 'B');</v>
      </c>
    </row>
    <row r="198" spans="1:10" x14ac:dyDescent="0.15">
      <c r="A198" t="s">
        <v>4481</v>
      </c>
      <c r="B198" t="str">
        <f ca="1">r_choice(Table3[ID])</f>
        <v>C09</v>
      </c>
      <c r="C198" t="str">
        <f ca="1">r_choice(Table10[ID])</f>
        <v>G04</v>
      </c>
      <c r="D198" t="str">
        <f ca="1">r_choice(EXCURSION!$A$2:$A$21)</f>
        <v>E10</v>
      </c>
      <c r="E198" s="2">
        <f t="shared" ca="1" si="12"/>
        <v>42020</v>
      </c>
      <c r="F198">
        <f t="shared" ca="1" si="13"/>
        <v>6</v>
      </c>
      <c r="G198" t="str">
        <f t="shared" ca="1" si="14"/>
        <v>None</v>
      </c>
      <c r="H198" s="3" t="str">
        <f ca="1">r_choice(Table6[ID])</f>
        <v>B</v>
      </c>
      <c r="J198" t="str">
        <f t="shared" ca="1" si="11"/>
        <v>insert into reservation values ('R167', 'C58', 'G21', 'E02', '16-Jan-2016', 6, 'Child Proof', 'P');</v>
      </c>
    </row>
    <row r="199" spans="1:10" x14ac:dyDescent="0.15">
      <c r="A199" t="s">
        <v>4482</v>
      </c>
      <c r="B199" t="str">
        <f ca="1">r_choice(Table3[ID])</f>
        <v>C89</v>
      </c>
      <c r="C199" t="str">
        <f ca="1">r_choice(Table10[ID])</f>
        <v>G07</v>
      </c>
      <c r="D199" t="str">
        <f ca="1">r_choice(EXCURSION!$A$2:$A$21)</f>
        <v>E20</v>
      </c>
      <c r="E199" s="2">
        <f t="shared" ca="1" si="12"/>
        <v>42089</v>
      </c>
      <c r="F199">
        <f t="shared" ca="1" si="13"/>
        <v>6</v>
      </c>
      <c r="G199" t="str">
        <f t="shared" ca="1" si="14"/>
        <v>Hendicaped</v>
      </c>
      <c r="H199" s="3" t="str">
        <f ca="1">r_choice(Table6[ID])</f>
        <v>P</v>
      </c>
      <c r="J199" t="str">
        <f t="shared" ca="1" si="11"/>
        <v>insert into reservation values ('R168', 'C85', 'G10', 'E13', '12-Jan-2016', 1, 'Quiet Floor', 'G');</v>
      </c>
    </row>
    <row r="200" spans="1:10" x14ac:dyDescent="0.15">
      <c r="A200" t="s">
        <v>4483</v>
      </c>
      <c r="B200" t="str">
        <f ca="1">r_choice(Table3[ID])</f>
        <v>C03</v>
      </c>
      <c r="C200" t="str">
        <f ca="1">r_choice(Table10[ID])</f>
        <v>G11</v>
      </c>
      <c r="D200" t="str">
        <f ca="1">r_choice(EXCURSION!$A$2:$A$21)</f>
        <v>E16</v>
      </c>
      <c r="E200" s="2">
        <f t="shared" ca="1" si="12"/>
        <v>42129</v>
      </c>
      <c r="F200">
        <f t="shared" ca="1" si="13"/>
        <v>5</v>
      </c>
      <c r="G200" t="str">
        <f t="shared" ca="1" si="14"/>
        <v>Vegeterian</v>
      </c>
      <c r="H200" s="3" t="str">
        <f ca="1">r_choice(Table6[ID])</f>
        <v>B</v>
      </c>
      <c r="J200" t="str">
        <f t="shared" ca="1" si="11"/>
        <v>insert into reservation values ('R169', 'C08', 'G14', 'E12', '17-Jun-2015', 2, 'None', 'S');</v>
      </c>
    </row>
    <row r="201" spans="1:10" x14ac:dyDescent="0.15">
      <c r="A201" t="s">
        <v>4484</v>
      </c>
      <c r="B201" t="str">
        <f ca="1">r_choice(Table3[ID])</f>
        <v>C82</v>
      </c>
      <c r="C201" t="str">
        <f ca="1">r_choice(Table10[ID])</f>
        <v>G13</v>
      </c>
      <c r="D201" t="str">
        <f ca="1">r_choice(EXCURSION!$A$2:$A$21)</f>
        <v>E11</v>
      </c>
      <c r="E201" s="2">
        <f t="shared" ca="1" si="12"/>
        <v>42006</v>
      </c>
      <c r="F201">
        <f t="shared" ca="1" si="13"/>
        <v>1</v>
      </c>
      <c r="G201" t="str">
        <f t="shared" ca="1" si="14"/>
        <v>Non Smoking</v>
      </c>
      <c r="H201" s="3" t="str">
        <f ca="1">r_choice(Table6[ID])</f>
        <v>B</v>
      </c>
      <c r="J201" t="str">
        <f t="shared" ca="1" si="11"/>
        <v>insert into reservation values ('R170', 'C52', 'G23', 'E13', '22-Apr-2015', 6, 'Quiet Floor', 'G');</v>
      </c>
    </row>
    <row r="202" spans="1:10" x14ac:dyDescent="0.15">
      <c r="A202" t="s">
        <v>4485</v>
      </c>
      <c r="B202" t="str">
        <f ca="1">r_choice(Table3[ID])</f>
        <v>C67</v>
      </c>
      <c r="C202" t="str">
        <f ca="1">r_choice(Table10[ID])</f>
        <v>G18</v>
      </c>
      <c r="D202" t="str">
        <f ca="1">r_choice(EXCURSION!$A$2:$A$21)</f>
        <v>E13</v>
      </c>
      <c r="E202" s="2">
        <f t="shared" ca="1" si="12"/>
        <v>42026</v>
      </c>
      <c r="F202">
        <f t="shared" ca="1" si="13"/>
        <v>5</v>
      </c>
      <c r="G202" t="str">
        <f t="shared" ca="1" si="14"/>
        <v>Hendicaped</v>
      </c>
      <c r="H202" s="3" t="str">
        <f ca="1">r_choice(Table6[ID])</f>
        <v>S</v>
      </c>
      <c r="J202" t="str">
        <f t="shared" ca="1" si="11"/>
        <v>insert into reservation values ('R171', 'C37', 'G05', 'E15', '14-Mar-2015', 5, 'Pets Allowed', 'B');</v>
      </c>
    </row>
    <row r="203" spans="1:10" x14ac:dyDescent="0.15">
      <c r="A203" t="s">
        <v>4486</v>
      </c>
      <c r="B203" t="str">
        <f ca="1">r_choice(Table3[ID])</f>
        <v>C72</v>
      </c>
      <c r="C203" t="str">
        <f ca="1">r_choice(Table10[ID])</f>
        <v>G04</v>
      </c>
      <c r="D203" t="str">
        <f ca="1">r_choice(EXCURSION!$A$2:$A$21)</f>
        <v>E07</v>
      </c>
      <c r="E203" s="2">
        <f t="shared" ca="1" si="12"/>
        <v>42242</v>
      </c>
      <c r="F203">
        <f t="shared" ca="1" si="13"/>
        <v>6</v>
      </c>
      <c r="G203" t="str">
        <f t="shared" ca="1" si="14"/>
        <v>None</v>
      </c>
      <c r="H203" s="3" t="str">
        <f ca="1">r_choice(Table6[ID])</f>
        <v>B</v>
      </c>
      <c r="J203" t="str">
        <f t="shared" ca="1" si="11"/>
        <v>insert into reservation values ('R172', 'C44', 'G09', 'E13', '17-Jun-2015', 1, 'Child Proof', 'S');</v>
      </c>
    </row>
    <row r="204" spans="1:10" x14ac:dyDescent="0.15">
      <c r="A204" t="s">
        <v>4487</v>
      </c>
      <c r="B204" t="str">
        <f ca="1">r_choice(Table3[ID])</f>
        <v>C72</v>
      </c>
      <c r="C204" t="str">
        <f ca="1">r_choice(Table10[ID])</f>
        <v>G18</v>
      </c>
      <c r="D204" t="str">
        <f ca="1">r_choice(EXCURSION!$A$2:$A$21)</f>
        <v>E15</v>
      </c>
      <c r="E204" s="2">
        <f t="shared" ca="1" si="12"/>
        <v>42369</v>
      </c>
      <c r="F204">
        <f t="shared" ca="1" si="13"/>
        <v>2</v>
      </c>
      <c r="G204" t="str">
        <f t="shared" ca="1" si="14"/>
        <v>Hendicaped</v>
      </c>
      <c r="H204" s="3" t="str">
        <f ca="1">r_choice(Table6[ID])</f>
        <v>P</v>
      </c>
      <c r="J204" t="str">
        <f t="shared" ca="1" si="11"/>
        <v>insert into reservation values ('R173', 'C09', 'G01', 'E07', '17-Jan-2016', 4, 'Child Proof', 'G');</v>
      </c>
    </row>
    <row r="205" spans="1:10" x14ac:dyDescent="0.15">
      <c r="A205" t="s">
        <v>4488</v>
      </c>
      <c r="B205" t="str">
        <f ca="1">r_choice(Table3[ID])</f>
        <v>C06</v>
      </c>
      <c r="C205" t="str">
        <f ca="1">r_choice(Table10[ID])</f>
        <v>G18</v>
      </c>
      <c r="D205" t="str">
        <f ca="1">r_choice(EXCURSION!$A$2:$A$21)</f>
        <v>E08</v>
      </c>
      <c r="E205" s="2">
        <f t="shared" ca="1" si="12"/>
        <v>42381</v>
      </c>
      <c r="F205">
        <f t="shared" ca="1" si="13"/>
        <v>5</v>
      </c>
      <c r="G205" t="str">
        <f t="shared" ca="1" si="14"/>
        <v>Quiet Floor</v>
      </c>
      <c r="H205" s="3" t="str">
        <f ca="1">r_choice(Table6[ID])</f>
        <v>G</v>
      </c>
      <c r="J205" t="str">
        <f t="shared" ca="1" si="11"/>
        <v>insert into reservation values ('R174', 'C41', 'G16', 'E18', '31-Mar-2015', 1, 'Quiet Floor', 'P');</v>
      </c>
    </row>
    <row r="206" spans="1:10" x14ac:dyDescent="0.15">
      <c r="A206" t="s">
        <v>4489</v>
      </c>
      <c r="B206" t="str">
        <f ca="1">r_choice(Table3[ID])</f>
        <v>C58</v>
      </c>
      <c r="C206" t="str">
        <f ca="1">r_choice(Table10[ID])</f>
        <v>G05</v>
      </c>
      <c r="D206" t="str">
        <f ca="1">r_choice(EXCURSION!$A$2:$A$21)</f>
        <v>E17</v>
      </c>
      <c r="E206" s="2">
        <f t="shared" ca="1" si="12"/>
        <v>42369</v>
      </c>
      <c r="F206">
        <f t="shared" ca="1" si="13"/>
        <v>1</v>
      </c>
      <c r="G206" t="str">
        <f t="shared" ca="1" si="14"/>
        <v>Non Smoking</v>
      </c>
      <c r="H206" s="3" t="str">
        <f ca="1">r_choice(Table6[ID])</f>
        <v>S</v>
      </c>
      <c r="J206" t="str">
        <f t="shared" ca="1" si="11"/>
        <v>insert into reservation values ('R175', 'C19', 'G09', 'E20', '21-Aug-2015', 4, 'None', 'S');</v>
      </c>
    </row>
    <row r="207" spans="1:10" x14ac:dyDescent="0.15">
      <c r="A207" t="s">
        <v>4490</v>
      </c>
      <c r="B207" t="str">
        <f ca="1">r_choice(Table3[ID])</f>
        <v>C01</v>
      </c>
      <c r="C207" t="str">
        <f ca="1">r_choice(Table10[ID])</f>
        <v>G08</v>
      </c>
      <c r="D207" t="str">
        <f ca="1">r_choice(EXCURSION!$A$2:$A$21)</f>
        <v>E19</v>
      </c>
      <c r="E207" s="2">
        <f t="shared" ca="1" si="12"/>
        <v>42318</v>
      </c>
      <c r="F207">
        <f t="shared" ca="1" si="13"/>
        <v>4</v>
      </c>
      <c r="G207" t="str">
        <f t="shared" ca="1" si="14"/>
        <v>Non Smoking</v>
      </c>
      <c r="H207" s="3" t="str">
        <f ca="1">r_choice(Table6[ID])</f>
        <v>G</v>
      </c>
      <c r="J207" t="str">
        <f t="shared" ca="1" si="11"/>
        <v>insert into reservation values ('R176', 'C02', 'G24', 'E04', '15-Oct-2015', 5, 'Child Proof', 'S');</v>
      </c>
    </row>
    <row r="208" spans="1:10" x14ac:dyDescent="0.15">
      <c r="A208" t="s">
        <v>4491</v>
      </c>
      <c r="B208" t="str">
        <f ca="1">r_choice(Table3[ID])</f>
        <v>C68</v>
      </c>
      <c r="C208" t="str">
        <f ca="1">r_choice(Table10[ID])</f>
        <v>G07</v>
      </c>
      <c r="D208" t="str">
        <f ca="1">r_choice(EXCURSION!$A$2:$A$21)</f>
        <v>E17</v>
      </c>
      <c r="E208" s="2">
        <f t="shared" ca="1" si="12"/>
        <v>42154</v>
      </c>
      <c r="F208">
        <f t="shared" ca="1" si="13"/>
        <v>6</v>
      </c>
      <c r="G208" t="str">
        <f t="shared" ca="1" si="14"/>
        <v>Hendicaped</v>
      </c>
      <c r="H208" s="3" t="str">
        <f ca="1">r_choice(Table6[ID])</f>
        <v>S</v>
      </c>
      <c r="J208" t="str">
        <f t="shared" ca="1" si="11"/>
        <v>insert into reservation values ('R177', 'C31', 'G02', 'E08', '28-Mar-2015', 5, 'Vegeterian', 'P');</v>
      </c>
    </row>
    <row r="209" spans="1:10" x14ac:dyDescent="0.15">
      <c r="A209" t="s">
        <v>4492</v>
      </c>
      <c r="B209" t="str">
        <f ca="1">r_choice(Table3[ID])</f>
        <v>C86</v>
      </c>
      <c r="C209" t="str">
        <f ca="1">r_choice(Table10[ID])</f>
        <v>G13</v>
      </c>
      <c r="D209" t="str">
        <f ca="1">r_choice(EXCURSION!$A$2:$A$21)</f>
        <v>E05</v>
      </c>
      <c r="E209" s="2">
        <f t="shared" ca="1" si="12"/>
        <v>42123</v>
      </c>
      <c r="F209">
        <f t="shared" ca="1" si="13"/>
        <v>2</v>
      </c>
      <c r="G209" t="str">
        <f t="shared" ca="1" si="14"/>
        <v>Non Smoking</v>
      </c>
      <c r="H209" s="3" t="str">
        <f ca="1">r_choice(Table6[ID])</f>
        <v>S</v>
      </c>
      <c r="J209" t="str">
        <f t="shared" ca="1" si="11"/>
        <v>insert into reservation values ('R178', 'C46', 'G01', 'E18', '16-Jan-2015', 5, 'Non Smoking', 'S');</v>
      </c>
    </row>
    <row r="210" spans="1:10" x14ac:dyDescent="0.15">
      <c r="A210" t="s">
        <v>4493</v>
      </c>
      <c r="B210" t="str">
        <f ca="1">r_choice(Table3[ID])</f>
        <v>C11</v>
      </c>
      <c r="C210" t="str">
        <f ca="1">r_choice(Table10[ID])</f>
        <v>G19</v>
      </c>
      <c r="D210" t="str">
        <f ca="1">r_choice(EXCURSION!$A$2:$A$21)</f>
        <v>E20</v>
      </c>
      <c r="E210" s="2">
        <f t="shared" ca="1" si="12"/>
        <v>42093</v>
      </c>
      <c r="F210">
        <f t="shared" ca="1" si="13"/>
        <v>5</v>
      </c>
      <c r="G210" t="str">
        <f t="shared" ca="1" si="14"/>
        <v>Quiet Floor</v>
      </c>
      <c r="H210" s="3" t="str">
        <f ca="1">r_choice(Table6[ID])</f>
        <v>B</v>
      </c>
      <c r="J210" t="str">
        <f t="shared" ca="1" si="11"/>
        <v>insert into reservation values ('R179', 'C40', 'G08', 'E15', '20-Dec-2015', 2, 'Child Proof', 'S');</v>
      </c>
    </row>
    <row r="211" spans="1:10" x14ac:dyDescent="0.15">
      <c r="A211" t="s">
        <v>4494</v>
      </c>
      <c r="B211" t="str">
        <f ca="1">r_choice(Table3[ID])</f>
        <v>C96</v>
      </c>
      <c r="C211" t="str">
        <f ca="1">r_choice(Table10[ID])</f>
        <v>G15</v>
      </c>
      <c r="D211" t="str">
        <f ca="1">r_choice(EXCURSION!$A$2:$A$21)</f>
        <v>E07</v>
      </c>
      <c r="E211" s="2">
        <f t="shared" ca="1" si="12"/>
        <v>42392</v>
      </c>
      <c r="F211">
        <f t="shared" ca="1" si="13"/>
        <v>4</v>
      </c>
      <c r="G211" t="str">
        <f t="shared" ca="1" si="14"/>
        <v>Vegeterian</v>
      </c>
      <c r="H211" s="3" t="str">
        <f ca="1">r_choice(Table6[ID])</f>
        <v>S</v>
      </c>
      <c r="J211" t="str">
        <f t="shared" ca="1" si="11"/>
        <v>insert into reservation values ('R180', 'C49', 'G05', 'E19', '18-Jul-2015', 5, 'Vegeterian', 'B');</v>
      </c>
    </row>
    <row r="212" spans="1:10" x14ac:dyDescent="0.15">
      <c r="A212" t="s">
        <v>4495</v>
      </c>
      <c r="B212" t="str">
        <f ca="1">r_choice(Table3[ID])</f>
        <v>C73</v>
      </c>
      <c r="C212" t="str">
        <f ca="1">r_choice(Table10[ID])</f>
        <v>G05</v>
      </c>
      <c r="D212" t="str">
        <f ca="1">r_choice(EXCURSION!$A$2:$A$21)</f>
        <v>E05</v>
      </c>
      <c r="E212" s="2">
        <f t="shared" ca="1" si="12"/>
        <v>42209</v>
      </c>
      <c r="F212">
        <f t="shared" ca="1" si="13"/>
        <v>1</v>
      </c>
      <c r="G212" t="str">
        <f t="shared" ca="1" si="14"/>
        <v>None</v>
      </c>
      <c r="H212" s="3" t="str">
        <f ca="1">r_choice(Table6[ID])</f>
        <v>S</v>
      </c>
      <c r="J212" t="str">
        <f t="shared" ca="1" si="11"/>
        <v>insert into reservation values ('R181', 'C72', 'G15', 'E09', '22-Apr-2015', 1, 'Child Proof', 'S');</v>
      </c>
    </row>
    <row r="213" spans="1:10" x14ac:dyDescent="0.15">
      <c r="A213" t="s">
        <v>4496</v>
      </c>
      <c r="B213" t="str">
        <f ca="1">r_choice(Table3[ID])</f>
        <v>C39</v>
      </c>
      <c r="C213" t="str">
        <f ca="1">r_choice(Table10[ID])</f>
        <v>G22</v>
      </c>
      <c r="D213" t="str">
        <f ca="1">r_choice(EXCURSION!$A$2:$A$21)</f>
        <v>E19</v>
      </c>
      <c r="E213" s="2">
        <f t="shared" ca="1" si="12"/>
        <v>42325</v>
      </c>
      <c r="F213">
        <f t="shared" ca="1" si="13"/>
        <v>6</v>
      </c>
      <c r="G213" t="str">
        <f t="shared" ca="1" si="14"/>
        <v>None</v>
      </c>
      <c r="H213" s="3" t="str">
        <f ca="1">r_choice(Table6[ID])</f>
        <v>B</v>
      </c>
      <c r="J213" t="str">
        <f t="shared" ca="1" si="11"/>
        <v>insert into reservation values ('R182', 'C91', 'G10', 'E02', '24-Jan-2015', 5, 'Hendicaped', 'P');</v>
      </c>
    </row>
    <row r="214" spans="1:10" x14ac:dyDescent="0.15">
      <c r="A214" t="s">
        <v>4497</v>
      </c>
      <c r="B214" t="str">
        <f ca="1">r_choice(Table3[ID])</f>
        <v>C18</v>
      </c>
      <c r="C214" t="str">
        <f ca="1">r_choice(Table10[ID])</f>
        <v>G13</v>
      </c>
      <c r="D214" t="str">
        <f ca="1">r_choice(EXCURSION!$A$2:$A$21)</f>
        <v>E20</v>
      </c>
      <c r="E214" s="2">
        <f t="shared" ca="1" si="12"/>
        <v>42079</v>
      </c>
      <c r="F214">
        <f t="shared" ca="1" si="13"/>
        <v>5</v>
      </c>
      <c r="G214" t="str">
        <f t="shared" ca="1" si="14"/>
        <v>Vegeterian</v>
      </c>
      <c r="H214" s="3" t="str">
        <f ca="1">r_choice(Table6[ID])</f>
        <v>B</v>
      </c>
      <c r="J214" t="str">
        <f t="shared" ca="1" si="11"/>
        <v>insert into reservation values ('R183', 'C86', 'G03', 'E02', '07-Oct-2015', 2, 'None', 'B');</v>
      </c>
    </row>
    <row r="215" spans="1:10" x14ac:dyDescent="0.15">
      <c r="A215" t="s">
        <v>4498</v>
      </c>
      <c r="B215" t="str">
        <f ca="1">r_choice(Table3[ID])</f>
        <v>C99</v>
      </c>
      <c r="C215" t="str">
        <f ca="1">r_choice(Table10[ID])</f>
        <v>G10</v>
      </c>
      <c r="D215" t="str">
        <f ca="1">r_choice(EXCURSION!$A$2:$A$21)</f>
        <v>E01</v>
      </c>
      <c r="E215" s="2">
        <f t="shared" ca="1" si="12"/>
        <v>42253</v>
      </c>
      <c r="F215">
        <f t="shared" ca="1" si="13"/>
        <v>3</v>
      </c>
      <c r="G215" t="str">
        <f t="shared" ca="1" si="14"/>
        <v>Non Smoking</v>
      </c>
      <c r="H215" s="3" t="str">
        <f ca="1">r_choice(Table6[ID])</f>
        <v>G</v>
      </c>
      <c r="J215" t="str">
        <f t="shared" ca="1" si="11"/>
        <v>insert into reservation values ('R184', 'C93', 'G18', 'E14', '25-Dec-2015', 4, 'Pets Allowed', 'B');</v>
      </c>
    </row>
    <row r="216" spans="1:10" x14ac:dyDescent="0.15">
      <c r="A216" t="s">
        <v>4499</v>
      </c>
      <c r="B216" t="str">
        <f ca="1">r_choice(Table3[ID])</f>
        <v>C55</v>
      </c>
      <c r="C216" t="str">
        <f ca="1">r_choice(Table10[ID])</f>
        <v>G17</v>
      </c>
      <c r="D216" t="str">
        <f ca="1">r_choice(EXCURSION!$A$2:$A$21)</f>
        <v>E02</v>
      </c>
      <c r="E216" s="2">
        <f t="shared" ca="1" si="12"/>
        <v>42033</v>
      </c>
      <c r="F216">
        <f t="shared" ca="1" si="13"/>
        <v>2</v>
      </c>
      <c r="G216" t="str">
        <f t="shared" ca="1" si="14"/>
        <v>None</v>
      </c>
      <c r="H216" s="3" t="str">
        <f ca="1">r_choice(Table6[ID])</f>
        <v>G</v>
      </c>
      <c r="J216" t="str">
        <f t="shared" ca="1" si="11"/>
        <v>insert into reservation values ('R185', 'C44', 'G01', 'E13', '07-Jun-2015', 2, 'Vegeterian', 'S');</v>
      </c>
    </row>
    <row r="217" spans="1:10" x14ac:dyDescent="0.15">
      <c r="A217" t="s">
        <v>4500</v>
      </c>
      <c r="B217" t="str">
        <f ca="1">r_choice(Table3[ID])</f>
        <v>C13</v>
      </c>
      <c r="C217" t="str">
        <f ca="1">r_choice(Table10[ID])</f>
        <v>G18</v>
      </c>
      <c r="D217" t="str">
        <f ca="1">r_choice(EXCURSION!$A$2:$A$21)</f>
        <v>E09</v>
      </c>
      <c r="E217" s="2">
        <f t="shared" ca="1" si="12"/>
        <v>42309</v>
      </c>
      <c r="F217">
        <f t="shared" ca="1" si="13"/>
        <v>6</v>
      </c>
      <c r="G217" t="str">
        <f t="shared" ca="1" si="14"/>
        <v>Pets Allowed</v>
      </c>
      <c r="H217" s="3" t="str">
        <f ca="1">r_choice(Table6[ID])</f>
        <v>P</v>
      </c>
      <c r="J217" t="str">
        <f t="shared" ca="1" si="11"/>
        <v>insert into reservation values ('R186', 'C74', 'G24', 'E07', '02-Jun-2015', 4, 'Vegeterian', 'B');</v>
      </c>
    </row>
    <row r="218" spans="1:10" x14ac:dyDescent="0.15">
      <c r="A218" t="s">
        <v>4501</v>
      </c>
      <c r="B218" t="str">
        <f ca="1">r_choice(Table3[ID])</f>
        <v>C19</v>
      </c>
      <c r="C218" t="str">
        <f ca="1">r_choice(Table10[ID])</f>
        <v>G23</v>
      </c>
      <c r="D218" t="str">
        <f ca="1">r_choice(EXCURSION!$A$2:$A$21)</f>
        <v>E01</v>
      </c>
      <c r="E218" s="2">
        <f t="shared" ca="1" si="12"/>
        <v>42073</v>
      </c>
      <c r="F218">
        <f t="shared" ca="1" si="13"/>
        <v>2</v>
      </c>
      <c r="G218" t="str">
        <f t="shared" ca="1" si="14"/>
        <v>Pets Allowed</v>
      </c>
      <c r="H218" s="3" t="str">
        <f ca="1">r_choice(Table6[ID])</f>
        <v>P</v>
      </c>
      <c r="J218" t="str">
        <f t="shared" ca="1" si="11"/>
        <v>insert into reservation values ('R187', 'C49', 'G12', 'E17', '10-Jan-2015', 5, 'Non Smoking', 'S');</v>
      </c>
    </row>
    <row r="219" spans="1:10" x14ac:dyDescent="0.15">
      <c r="A219" t="s">
        <v>4502</v>
      </c>
      <c r="B219" t="str">
        <f ca="1">r_choice(Table3[ID])</f>
        <v>C31</v>
      </c>
      <c r="C219" t="str">
        <f ca="1">r_choice(Table10[ID])</f>
        <v>G03</v>
      </c>
      <c r="D219" t="str">
        <f ca="1">r_choice(EXCURSION!$A$2:$A$21)</f>
        <v>E06</v>
      </c>
      <c r="E219" s="2">
        <f t="shared" ca="1" si="12"/>
        <v>42385</v>
      </c>
      <c r="F219">
        <f t="shared" ca="1" si="13"/>
        <v>4</v>
      </c>
      <c r="G219" t="str">
        <f t="shared" ca="1" si="14"/>
        <v>Hendicaped</v>
      </c>
      <c r="H219" s="3" t="str">
        <f ca="1">r_choice(Table6[ID])</f>
        <v>B</v>
      </c>
      <c r="J219" t="str">
        <f t="shared" ca="1" si="11"/>
        <v>insert into reservation values ('R188', 'C29', 'G13', 'E03', '15-Feb-2015', 1, 'Quiet Floor', 'B');</v>
      </c>
    </row>
    <row r="220" spans="1:10" x14ac:dyDescent="0.15">
      <c r="A220" t="s">
        <v>4503</v>
      </c>
      <c r="B220" t="str">
        <f ca="1">r_choice(Table3[ID])</f>
        <v>C100</v>
      </c>
      <c r="C220" t="str">
        <f ca="1">r_choice(Table10[ID])</f>
        <v>G16</v>
      </c>
      <c r="D220" t="str">
        <f ca="1">r_choice(EXCURSION!$A$2:$A$21)</f>
        <v>E07</v>
      </c>
      <c r="E220" s="2">
        <f t="shared" ca="1" si="12"/>
        <v>42071</v>
      </c>
      <c r="F220">
        <f t="shared" ca="1" si="13"/>
        <v>4</v>
      </c>
      <c r="G220" t="str">
        <f t="shared" ca="1" si="14"/>
        <v>Quiet Floor</v>
      </c>
      <c r="H220" s="3" t="str">
        <f ca="1">r_choice(Table6[ID])</f>
        <v>S</v>
      </c>
      <c r="J220" t="str">
        <f t="shared" ca="1" si="11"/>
        <v>insert into reservation values ('R189', 'C15', 'G13', 'E20', '24-Jun-2015', 6, 'Quiet Floor', 'G');</v>
      </c>
    </row>
    <row r="221" spans="1:10" x14ac:dyDescent="0.15">
      <c r="A221" t="s">
        <v>4504</v>
      </c>
      <c r="B221" t="str">
        <f ca="1">r_choice(Table3[ID])</f>
        <v>C42</v>
      </c>
      <c r="C221" t="str">
        <f ca="1">r_choice(Table10[ID])</f>
        <v>G01</v>
      </c>
      <c r="D221" t="str">
        <f ca="1">r_choice(EXCURSION!$A$2:$A$21)</f>
        <v>E11</v>
      </c>
      <c r="E221" s="2">
        <f t="shared" ca="1" si="12"/>
        <v>42191</v>
      </c>
      <c r="F221">
        <f t="shared" ca="1" si="13"/>
        <v>3</v>
      </c>
      <c r="G221" t="str">
        <f t="shared" ca="1" si="14"/>
        <v>Vegeterian</v>
      </c>
      <c r="H221" s="3" t="str">
        <f ca="1">r_choice(Table6[ID])</f>
        <v>P</v>
      </c>
      <c r="J221" t="str">
        <f t="shared" ca="1" si="11"/>
        <v>insert into reservation values ('R190', 'C34', 'G12', 'E16', '02-Jun-2015', 6, 'Pets Allowed', 'B');</v>
      </c>
    </row>
    <row r="222" spans="1:10" x14ac:dyDescent="0.15">
      <c r="A222" t="s">
        <v>4505</v>
      </c>
      <c r="B222" t="str">
        <f ca="1">r_choice(Table3[ID])</f>
        <v>C65</v>
      </c>
      <c r="C222" t="str">
        <f ca="1">r_choice(Table10[ID])</f>
        <v>G08</v>
      </c>
      <c r="D222" t="str">
        <f ca="1">r_choice(EXCURSION!$A$2:$A$21)</f>
        <v>E06</v>
      </c>
      <c r="E222" s="2">
        <f t="shared" ca="1" si="12"/>
        <v>42077</v>
      </c>
      <c r="F222">
        <f t="shared" ca="1" si="13"/>
        <v>3</v>
      </c>
      <c r="G222" t="str">
        <f t="shared" ca="1" si="14"/>
        <v>Child Proof</v>
      </c>
      <c r="H222" s="3" t="str">
        <f ca="1">r_choice(Table6[ID])</f>
        <v>B</v>
      </c>
      <c r="J222" t="str">
        <f t="shared" ca="1" si="11"/>
        <v>insert into reservation values ('R191', 'C94', 'G08', 'E17', '16-Oct-2015', 6, 'Non Smoking', 'P');</v>
      </c>
    </row>
    <row r="223" spans="1:10" x14ac:dyDescent="0.15">
      <c r="A223" t="s">
        <v>4506</v>
      </c>
      <c r="B223" t="str">
        <f ca="1">r_choice(Table3[ID])</f>
        <v>C66</v>
      </c>
      <c r="C223" t="str">
        <f ca="1">r_choice(Table10[ID])</f>
        <v>G16</v>
      </c>
      <c r="D223" t="str">
        <f ca="1">r_choice(EXCURSION!$A$2:$A$21)</f>
        <v>E01</v>
      </c>
      <c r="E223" s="2">
        <f t="shared" ca="1" si="12"/>
        <v>42193</v>
      </c>
      <c r="F223">
        <f t="shared" ca="1" si="13"/>
        <v>6</v>
      </c>
      <c r="G223" t="str">
        <f t="shared" ca="1" si="14"/>
        <v>None</v>
      </c>
      <c r="H223" s="3" t="str">
        <f ca="1">r_choice(Table6[ID])</f>
        <v>G</v>
      </c>
      <c r="J223" t="str">
        <f t="shared" ca="1" si="11"/>
        <v>insert into reservation values ('R192', 'C32', 'G07', 'E06', '17-Nov-2015', 5, 'Hendicaped', 'G');</v>
      </c>
    </row>
    <row r="224" spans="1:10" x14ac:dyDescent="0.15">
      <c r="A224" t="s">
        <v>4507</v>
      </c>
      <c r="B224" t="str">
        <f ca="1">r_choice(Table3[ID])</f>
        <v>C68</v>
      </c>
      <c r="C224" t="str">
        <f ca="1">r_choice(Table10[ID])</f>
        <v>G25</v>
      </c>
      <c r="D224" t="str">
        <f ca="1">r_choice(EXCURSION!$A$2:$A$21)</f>
        <v>E19</v>
      </c>
      <c r="E224" s="2">
        <f t="shared" ca="1" si="12"/>
        <v>42325</v>
      </c>
      <c r="F224">
        <f t="shared" ca="1" si="13"/>
        <v>3</v>
      </c>
      <c r="G224" t="str">
        <f t="shared" ca="1" si="14"/>
        <v>Pets Allowed</v>
      </c>
      <c r="H224" s="3" t="str">
        <f ca="1">r_choice(Table6[ID])</f>
        <v>G</v>
      </c>
      <c r="J224" t="str">
        <f t="shared" ref="J224:J287" ca="1" si="15">insertinto(A194:H194,$J$24:$K$31,"reservation")</f>
        <v>insert into reservation values ('R193', 'C89', 'G18', 'E17', '22-Jun-2015', 1, 'None', 'G');</v>
      </c>
    </row>
    <row r="225" spans="1:10" x14ac:dyDescent="0.15">
      <c r="A225" t="s">
        <v>4508</v>
      </c>
      <c r="B225" t="str">
        <f ca="1">r_choice(Table3[ID])</f>
        <v>C38</v>
      </c>
      <c r="C225" t="str">
        <f ca="1">r_choice(Table10[ID])</f>
        <v>G18</v>
      </c>
      <c r="D225" t="str">
        <f ca="1">r_choice(EXCURSION!$A$2:$A$21)</f>
        <v>E06</v>
      </c>
      <c r="E225" s="2">
        <f t="shared" ca="1" si="12"/>
        <v>42292</v>
      </c>
      <c r="F225">
        <f t="shared" ca="1" si="13"/>
        <v>5</v>
      </c>
      <c r="G225" t="str">
        <f t="shared" ca="1" si="14"/>
        <v>Quiet Floor</v>
      </c>
      <c r="H225" s="3" t="str">
        <f ca="1">r_choice(Table6[ID])</f>
        <v>S</v>
      </c>
      <c r="J225" t="str">
        <f t="shared" ca="1" si="15"/>
        <v>insert into reservation values ('R194', 'C09', 'G21', 'E17', '19-Mar-2015', 6, 'Hendicaped', 'P');</v>
      </c>
    </row>
    <row r="226" spans="1:10" x14ac:dyDescent="0.15">
      <c r="A226" t="s">
        <v>4509</v>
      </c>
      <c r="B226" t="str">
        <f ca="1">r_choice(Table3[ID])</f>
        <v>C26</v>
      </c>
      <c r="C226" t="str">
        <f ca="1">r_choice(Table10[ID])</f>
        <v>G12</v>
      </c>
      <c r="D226" t="str">
        <f ca="1">r_choice(EXCURSION!$A$2:$A$21)</f>
        <v>E05</v>
      </c>
      <c r="E226" s="2">
        <f t="shared" ca="1" si="12"/>
        <v>42150</v>
      </c>
      <c r="F226">
        <f t="shared" ca="1" si="13"/>
        <v>1</v>
      </c>
      <c r="G226" t="str">
        <f t="shared" ca="1" si="14"/>
        <v>Non Smoking</v>
      </c>
      <c r="H226" s="3" t="str">
        <f ca="1">r_choice(Table6[ID])</f>
        <v>G</v>
      </c>
      <c r="J226" t="str">
        <f t="shared" ca="1" si="15"/>
        <v>insert into reservation values ('R195', 'C13', 'G02', 'E12', '11-Feb-2015', 5, 'Vegeterian', 'P');</v>
      </c>
    </row>
    <row r="227" spans="1:10" x14ac:dyDescent="0.15">
      <c r="A227" t="s">
        <v>4510</v>
      </c>
      <c r="B227" t="str">
        <f ca="1">r_choice(Table3[ID])</f>
        <v>C73</v>
      </c>
      <c r="C227" t="str">
        <f ca="1">r_choice(Table10[ID])</f>
        <v>G22</v>
      </c>
      <c r="D227" t="str">
        <f ca="1">r_choice(EXCURSION!$A$2:$A$21)</f>
        <v>E01</v>
      </c>
      <c r="E227" s="2">
        <f t="shared" ca="1" si="12"/>
        <v>42173</v>
      </c>
      <c r="F227">
        <f t="shared" ca="1" si="13"/>
        <v>3</v>
      </c>
      <c r="G227" t="str">
        <f t="shared" ca="1" si="14"/>
        <v>Quiet Floor</v>
      </c>
      <c r="H227" s="3" t="str">
        <f ca="1">r_choice(Table6[ID])</f>
        <v>B</v>
      </c>
      <c r="J227" t="str">
        <f t="shared" ca="1" si="15"/>
        <v>insert into reservation values ('R196', 'C39', 'G01', 'E15', '04-Oct-2015', 3, 'Child Proof', 'S');</v>
      </c>
    </row>
    <row r="228" spans="1:10" x14ac:dyDescent="0.15">
      <c r="A228" t="s">
        <v>4511</v>
      </c>
      <c r="B228" t="str">
        <f ca="1">r_choice(Table3[ID])</f>
        <v>C76</v>
      </c>
      <c r="C228" t="str">
        <f ca="1">r_choice(Table10[ID])</f>
        <v>G10</v>
      </c>
      <c r="D228" t="str">
        <f ca="1">r_choice(EXCURSION!$A$2:$A$21)</f>
        <v>E11</v>
      </c>
      <c r="E228" s="2">
        <f t="shared" ca="1" si="12"/>
        <v>42167</v>
      </c>
      <c r="F228">
        <f t="shared" ca="1" si="13"/>
        <v>1</v>
      </c>
      <c r="G228" t="str">
        <f t="shared" ca="1" si="14"/>
        <v>Quiet Floor</v>
      </c>
      <c r="H228" s="3" t="str">
        <f ca="1">r_choice(Table6[ID])</f>
        <v>B</v>
      </c>
      <c r="J228" t="str">
        <f t="shared" ca="1" si="15"/>
        <v>insert into reservation values ('R197', 'C09', 'G04', 'E10', '16-Jan-2015', 6, 'None', 'B');</v>
      </c>
    </row>
    <row r="229" spans="1:10" x14ac:dyDescent="0.15">
      <c r="A229" t="s">
        <v>4512</v>
      </c>
      <c r="B229" t="str">
        <f ca="1">r_choice(Table3[ID])</f>
        <v>C26</v>
      </c>
      <c r="C229" t="str">
        <f ca="1">r_choice(Table10[ID])</f>
        <v>G22</v>
      </c>
      <c r="D229" t="str">
        <f ca="1">r_choice(EXCURSION!$A$2:$A$21)</f>
        <v>E12</v>
      </c>
      <c r="E229" s="2">
        <f t="shared" ca="1" si="12"/>
        <v>42151</v>
      </c>
      <c r="F229">
        <f t="shared" ca="1" si="13"/>
        <v>3</v>
      </c>
      <c r="G229" t="str">
        <f t="shared" ca="1" si="14"/>
        <v>Pets Allowed</v>
      </c>
      <c r="H229" s="3" t="str">
        <f ca="1">r_choice(Table6[ID])</f>
        <v>B</v>
      </c>
      <c r="J229" t="str">
        <f t="shared" ca="1" si="15"/>
        <v>insert into reservation values ('R198', 'C89', 'G07', 'E20', '26-Mar-2015', 6, 'Hendicaped', 'P');</v>
      </c>
    </row>
    <row r="230" spans="1:10" x14ac:dyDescent="0.15">
      <c r="A230" t="s">
        <v>4513</v>
      </c>
      <c r="B230" t="str">
        <f ca="1">r_choice(Table3[ID])</f>
        <v>C02</v>
      </c>
      <c r="C230" t="str">
        <f ca="1">r_choice(Table10[ID])</f>
        <v>G25</v>
      </c>
      <c r="D230" t="str">
        <f ca="1">r_choice(EXCURSION!$A$2:$A$21)</f>
        <v>E06</v>
      </c>
      <c r="E230" s="2">
        <f t="shared" ca="1" si="12"/>
        <v>42206</v>
      </c>
      <c r="F230">
        <f t="shared" ca="1" si="13"/>
        <v>6</v>
      </c>
      <c r="G230" t="str">
        <f t="shared" ca="1" si="14"/>
        <v>Vegeterian</v>
      </c>
      <c r="H230" s="3" t="str">
        <f ca="1">r_choice(Table6[ID])</f>
        <v>S</v>
      </c>
      <c r="J230" t="str">
        <f t="shared" ca="1" si="15"/>
        <v>insert into reservation values ('R199', 'C03', 'G11', 'E16', '05-May-2015', 5, 'Vegeterian', 'B');</v>
      </c>
    </row>
    <row r="231" spans="1:10" x14ac:dyDescent="0.15">
      <c r="A231" t="s">
        <v>4514</v>
      </c>
      <c r="B231" t="str">
        <f ca="1">r_choice(Table3[ID])</f>
        <v>C75</v>
      </c>
      <c r="C231" t="str">
        <f ca="1">r_choice(Table10[ID])</f>
        <v>G07</v>
      </c>
      <c r="D231" t="str">
        <f ca="1">r_choice(EXCURSION!$A$2:$A$21)</f>
        <v>E18</v>
      </c>
      <c r="E231" s="2">
        <f t="shared" ca="1" si="12"/>
        <v>42138</v>
      </c>
      <c r="F231">
        <f t="shared" ca="1" si="13"/>
        <v>1</v>
      </c>
      <c r="G231" t="str">
        <f t="shared" ca="1" si="14"/>
        <v>Vegeterian</v>
      </c>
      <c r="H231" s="3" t="str">
        <f ca="1">r_choice(Table6[ID])</f>
        <v>B</v>
      </c>
      <c r="J231" t="str">
        <f t="shared" ca="1" si="15"/>
        <v>insert into reservation values ('R200', 'C82', 'G13', 'E11', '02-Jan-2015', 1, 'Non Smoking', 'B');</v>
      </c>
    </row>
    <row r="232" spans="1:10" x14ac:dyDescent="0.15">
      <c r="A232" t="s">
        <v>4515</v>
      </c>
      <c r="B232" t="str">
        <f ca="1">r_choice(Table3[ID])</f>
        <v>C49</v>
      </c>
      <c r="C232" t="str">
        <f ca="1">r_choice(Table10[ID])</f>
        <v>G15</v>
      </c>
      <c r="D232" t="str">
        <f ca="1">r_choice(EXCURSION!$A$2:$A$21)</f>
        <v>E19</v>
      </c>
      <c r="E232" s="2">
        <f t="shared" ca="1" si="12"/>
        <v>42106</v>
      </c>
      <c r="F232">
        <f t="shared" ca="1" si="13"/>
        <v>4</v>
      </c>
      <c r="G232" t="str">
        <f t="shared" ca="1" si="14"/>
        <v>Child Proof</v>
      </c>
      <c r="H232" s="3" t="str">
        <f ca="1">r_choice(Table6[ID])</f>
        <v>S</v>
      </c>
      <c r="J232" t="str">
        <f t="shared" ca="1" si="15"/>
        <v>insert into reservation values ('R201', 'C67', 'G18', 'E13', '22-Jan-2015', 5, 'Hendicaped', 'S');</v>
      </c>
    </row>
    <row r="233" spans="1:10" x14ac:dyDescent="0.15">
      <c r="A233" t="s">
        <v>4516</v>
      </c>
      <c r="B233" t="str">
        <f ca="1">r_choice(Table3[ID])</f>
        <v>C33</v>
      </c>
      <c r="C233" t="str">
        <f ca="1">r_choice(Table10[ID])</f>
        <v>G10</v>
      </c>
      <c r="D233" t="str">
        <f ca="1">r_choice(EXCURSION!$A$2:$A$21)</f>
        <v>E09</v>
      </c>
      <c r="E233" s="2">
        <f t="shared" ca="1" si="12"/>
        <v>42297</v>
      </c>
      <c r="F233">
        <f t="shared" ca="1" si="13"/>
        <v>6</v>
      </c>
      <c r="G233" t="str">
        <f t="shared" ca="1" si="14"/>
        <v>Hendicaped</v>
      </c>
      <c r="H233" s="3" t="str">
        <f ca="1">r_choice(Table6[ID])</f>
        <v>P</v>
      </c>
      <c r="J233" t="str">
        <f t="shared" ca="1" si="15"/>
        <v>insert into reservation values ('R202', 'C72', 'G04', 'E07', '26-Aug-2015', 6, 'None', 'B');</v>
      </c>
    </row>
    <row r="234" spans="1:10" x14ac:dyDescent="0.15">
      <c r="A234" t="s">
        <v>4517</v>
      </c>
      <c r="B234" t="str">
        <f ca="1">r_choice(Table3[ID])</f>
        <v>C02</v>
      </c>
      <c r="C234" t="str">
        <f ca="1">r_choice(Table10[ID])</f>
        <v>G23</v>
      </c>
      <c r="D234" t="str">
        <f ca="1">r_choice(EXCURSION!$A$2:$A$21)</f>
        <v>E05</v>
      </c>
      <c r="E234" s="2">
        <f t="shared" ca="1" si="12"/>
        <v>42216</v>
      </c>
      <c r="F234">
        <f t="shared" ca="1" si="13"/>
        <v>6</v>
      </c>
      <c r="G234" t="str">
        <f t="shared" ca="1" si="14"/>
        <v>Vegeterian</v>
      </c>
      <c r="H234" s="3" t="str">
        <f ca="1">r_choice(Table6[ID])</f>
        <v>B</v>
      </c>
      <c r="J234" t="str">
        <f t="shared" ca="1" si="15"/>
        <v>insert into reservation values ('R203', 'C72', 'G18', 'E15', '31-Dec-2015', 2, 'Hendicaped', 'P');</v>
      </c>
    </row>
    <row r="235" spans="1:10" x14ac:dyDescent="0.15">
      <c r="A235" t="s">
        <v>4518</v>
      </c>
      <c r="B235" t="str">
        <f ca="1">r_choice(Table3[ID])</f>
        <v>C61</v>
      </c>
      <c r="C235" t="str">
        <f ca="1">r_choice(Table10[ID])</f>
        <v>G08</v>
      </c>
      <c r="D235" t="str">
        <f ca="1">r_choice(EXCURSION!$A$2:$A$21)</f>
        <v>E15</v>
      </c>
      <c r="E235" s="2">
        <f t="shared" ca="1" si="12"/>
        <v>42202</v>
      </c>
      <c r="F235">
        <f t="shared" ca="1" si="13"/>
        <v>2</v>
      </c>
      <c r="G235" t="str">
        <f t="shared" ca="1" si="14"/>
        <v>None</v>
      </c>
      <c r="H235" s="3" t="str">
        <f ca="1">r_choice(Table6[ID])</f>
        <v>P</v>
      </c>
      <c r="J235" t="str">
        <f t="shared" ca="1" si="15"/>
        <v>insert into reservation values ('R204', 'C06', 'G18', 'E08', '12-Jan-2016', 5, 'Quiet Floor', 'G');</v>
      </c>
    </row>
    <row r="236" spans="1:10" x14ac:dyDescent="0.15">
      <c r="A236" t="s">
        <v>4519</v>
      </c>
      <c r="B236" t="str">
        <f ca="1">r_choice(Table3[ID])</f>
        <v>C45</v>
      </c>
      <c r="C236" t="str">
        <f ca="1">r_choice(Table10[ID])</f>
        <v>G01</v>
      </c>
      <c r="D236" t="str">
        <f ca="1">r_choice(EXCURSION!$A$2:$A$21)</f>
        <v>E11</v>
      </c>
      <c r="E236" s="2">
        <f t="shared" ca="1" si="12"/>
        <v>42018</v>
      </c>
      <c r="F236">
        <f t="shared" ca="1" si="13"/>
        <v>3</v>
      </c>
      <c r="G236" t="str">
        <f t="shared" ca="1" si="14"/>
        <v>Vegeterian</v>
      </c>
      <c r="H236" s="3" t="str">
        <f ca="1">r_choice(Table6[ID])</f>
        <v>G</v>
      </c>
      <c r="J236" t="str">
        <f t="shared" ca="1" si="15"/>
        <v>insert into reservation values ('R205', 'C58', 'G05', 'E17', '31-Dec-2015', 1, 'Non Smoking', 'S');</v>
      </c>
    </row>
    <row r="237" spans="1:10" x14ac:dyDescent="0.15">
      <c r="A237" t="s">
        <v>4520</v>
      </c>
      <c r="B237" t="str">
        <f ca="1">r_choice(Table3[ID])</f>
        <v>C12</v>
      </c>
      <c r="C237" t="str">
        <f ca="1">r_choice(Table10[ID])</f>
        <v>G10</v>
      </c>
      <c r="D237" t="str">
        <f ca="1">r_choice(EXCURSION!$A$2:$A$21)</f>
        <v>E15</v>
      </c>
      <c r="E237" s="2">
        <f t="shared" ca="1" si="12"/>
        <v>42084</v>
      </c>
      <c r="F237">
        <f t="shared" ca="1" si="13"/>
        <v>6</v>
      </c>
      <c r="G237" t="str">
        <f t="shared" ca="1" si="14"/>
        <v>Non Smoking</v>
      </c>
      <c r="H237" s="3" t="str">
        <f ca="1">r_choice(Table6[ID])</f>
        <v>B</v>
      </c>
      <c r="J237" t="str">
        <f t="shared" ca="1" si="15"/>
        <v>insert into reservation values ('R206', 'C01', 'G08', 'E19', '10-Nov-2015', 4, 'Non Smoking', 'G');</v>
      </c>
    </row>
    <row r="238" spans="1:10" x14ac:dyDescent="0.15">
      <c r="A238" t="s">
        <v>4521</v>
      </c>
      <c r="B238" t="str">
        <f ca="1">r_choice(Table3[ID])</f>
        <v>C81</v>
      </c>
      <c r="C238" t="str">
        <f ca="1">r_choice(Table10[ID])</f>
        <v>G05</v>
      </c>
      <c r="D238" t="str">
        <f ca="1">r_choice(EXCURSION!$A$2:$A$21)</f>
        <v>E15</v>
      </c>
      <c r="E238" s="2">
        <f t="shared" ca="1" si="12"/>
        <v>42009</v>
      </c>
      <c r="F238">
        <f t="shared" ca="1" si="13"/>
        <v>2</v>
      </c>
      <c r="G238" t="str">
        <f t="shared" ca="1" si="14"/>
        <v>Pets Allowed</v>
      </c>
      <c r="H238" s="3" t="str">
        <f ca="1">r_choice(Table6[ID])</f>
        <v>G</v>
      </c>
      <c r="J238" t="str">
        <f t="shared" ca="1" si="15"/>
        <v>insert into reservation values ('R207', 'C68', 'G07', 'E17', '30-May-2015', 6, 'Hendicaped', 'S');</v>
      </c>
    </row>
    <row r="239" spans="1:10" x14ac:dyDescent="0.15">
      <c r="A239" t="s">
        <v>4522</v>
      </c>
      <c r="B239" t="str">
        <f ca="1">r_choice(Table3[ID])</f>
        <v>C64</v>
      </c>
      <c r="C239" t="str">
        <f ca="1">r_choice(Table10[ID])</f>
        <v>G24</v>
      </c>
      <c r="D239" t="str">
        <f ca="1">r_choice(EXCURSION!$A$2:$A$21)</f>
        <v>E16</v>
      </c>
      <c r="E239" s="2">
        <f t="shared" ca="1" si="12"/>
        <v>42190</v>
      </c>
      <c r="F239">
        <f t="shared" ca="1" si="13"/>
        <v>4</v>
      </c>
      <c r="G239" t="str">
        <f t="shared" ca="1" si="14"/>
        <v>Hendicaped</v>
      </c>
      <c r="H239" s="3" t="str">
        <f ca="1">r_choice(Table6[ID])</f>
        <v>P</v>
      </c>
      <c r="J239" t="str">
        <f t="shared" ca="1" si="15"/>
        <v>insert into reservation values ('R208', 'C86', 'G13', 'E05', '29-Apr-2015', 2, 'Non Smoking', 'S');</v>
      </c>
    </row>
    <row r="240" spans="1:10" x14ac:dyDescent="0.15">
      <c r="A240" t="s">
        <v>4523</v>
      </c>
      <c r="B240" t="str">
        <f ca="1">r_choice(Table3[ID])</f>
        <v>C48</v>
      </c>
      <c r="C240" t="str">
        <f ca="1">r_choice(Table10[ID])</f>
        <v>G07</v>
      </c>
      <c r="D240" t="str">
        <f ca="1">r_choice(EXCURSION!$A$2:$A$21)</f>
        <v>E20</v>
      </c>
      <c r="E240" s="2">
        <f t="shared" ca="1" si="12"/>
        <v>42129</v>
      </c>
      <c r="F240">
        <f t="shared" ca="1" si="13"/>
        <v>2</v>
      </c>
      <c r="G240" t="str">
        <f t="shared" ca="1" si="14"/>
        <v>Pets Allowed</v>
      </c>
      <c r="H240" s="3" t="str">
        <f ca="1">r_choice(Table6[ID])</f>
        <v>G</v>
      </c>
      <c r="J240" t="str">
        <f t="shared" ca="1" si="15"/>
        <v>insert into reservation values ('R209', 'C11', 'G19', 'E20', '30-Mar-2015', 5, 'Quiet Floor', 'B');</v>
      </c>
    </row>
    <row r="241" spans="1:10" x14ac:dyDescent="0.15">
      <c r="A241" t="s">
        <v>4524</v>
      </c>
      <c r="B241" t="str">
        <f ca="1">r_choice(Table3[ID])</f>
        <v>C85</v>
      </c>
      <c r="C241" t="str">
        <f ca="1">r_choice(Table10[ID])</f>
        <v>G22</v>
      </c>
      <c r="D241" t="str">
        <f ca="1">r_choice(EXCURSION!$A$2:$A$21)</f>
        <v>E12</v>
      </c>
      <c r="E241" s="2">
        <f t="shared" ca="1" si="12"/>
        <v>42251</v>
      </c>
      <c r="F241">
        <f t="shared" ca="1" si="13"/>
        <v>1</v>
      </c>
      <c r="G241" t="str">
        <f t="shared" ca="1" si="14"/>
        <v>Pets Allowed</v>
      </c>
      <c r="H241" s="3" t="str">
        <f ca="1">r_choice(Table6[ID])</f>
        <v>B</v>
      </c>
      <c r="J241" t="str">
        <f t="shared" ca="1" si="15"/>
        <v>insert into reservation values ('R210', 'C96', 'G15', 'E07', '23-Jan-2016', 4, 'Vegeterian', 'S');</v>
      </c>
    </row>
    <row r="242" spans="1:10" x14ac:dyDescent="0.15">
      <c r="A242" t="s">
        <v>4525</v>
      </c>
      <c r="B242" t="str">
        <f ca="1">r_choice(Table3[ID])</f>
        <v>C71</v>
      </c>
      <c r="C242" t="str">
        <f ca="1">r_choice(Table10[ID])</f>
        <v>G03</v>
      </c>
      <c r="D242" t="str">
        <f ca="1">r_choice(EXCURSION!$A$2:$A$21)</f>
        <v>E19</v>
      </c>
      <c r="E242" s="2">
        <f t="shared" ca="1" si="12"/>
        <v>42260</v>
      </c>
      <c r="F242">
        <f t="shared" ca="1" si="13"/>
        <v>3</v>
      </c>
      <c r="G242" t="str">
        <f t="shared" ca="1" si="14"/>
        <v>Non Smoking</v>
      </c>
      <c r="H242" s="3" t="str">
        <f ca="1">r_choice(Table6[ID])</f>
        <v>G</v>
      </c>
      <c r="J242" t="str">
        <f t="shared" ca="1" si="15"/>
        <v>insert into reservation values ('R211', 'C73', 'G05', 'E05', '24-Jul-2015', 1, 'None', 'S');</v>
      </c>
    </row>
    <row r="243" spans="1:10" x14ac:dyDescent="0.15">
      <c r="A243" t="s">
        <v>4526</v>
      </c>
      <c r="B243" t="str">
        <f ca="1">r_choice(Table3[ID])</f>
        <v>C27</v>
      </c>
      <c r="C243" t="str">
        <f ca="1">r_choice(Table10[ID])</f>
        <v>G04</v>
      </c>
      <c r="D243" t="str">
        <f ca="1">r_choice(EXCURSION!$A$2:$A$21)</f>
        <v>E14</v>
      </c>
      <c r="E243" s="2">
        <f t="shared" ca="1" si="12"/>
        <v>42227</v>
      </c>
      <c r="F243">
        <f t="shared" ca="1" si="13"/>
        <v>1</v>
      </c>
      <c r="G243" t="str">
        <f t="shared" ca="1" si="14"/>
        <v>Child Proof</v>
      </c>
      <c r="H243" s="3" t="str">
        <f ca="1">r_choice(Table6[ID])</f>
        <v>G</v>
      </c>
      <c r="J243" t="str">
        <f t="shared" ca="1" si="15"/>
        <v>insert into reservation values ('R212', 'C39', 'G22', 'E19', '17-Nov-2015', 6, 'None', 'B');</v>
      </c>
    </row>
    <row r="244" spans="1:10" x14ac:dyDescent="0.15">
      <c r="A244" t="s">
        <v>4527</v>
      </c>
      <c r="B244" t="str">
        <f ca="1">r_choice(Table3[ID])</f>
        <v>C24</v>
      </c>
      <c r="C244" t="str">
        <f ca="1">r_choice(Table10[ID])</f>
        <v>G11</v>
      </c>
      <c r="D244" t="str">
        <f ca="1">r_choice(EXCURSION!$A$2:$A$21)</f>
        <v>E08</v>
      </c>
      <c r="E244" s="2">
        <f t="shared" ca="1" si="12"/>
        <v>42032</v>
      </c>
      <c r="F244">
        <f t="shared" ca="1" si="13"/>
        <v>3</v>
      </c>
      <c r="G244" t="str">
        <f t="shared" ca="1" si="14"/>
        <v>Pets Allowed</v>
      </c>
      <c r="H244" s="3" t="str">
        <f ca="1">r_choice(Table6[ID])</f>
        <v>S</v>
      </c>
      <c r="J244" t="str">
        <f t="shared" ca="1" si="15"/>
        <v>insert into reservation values ('R213', 'C18', 'G13', 'E20', '16-Mar-2015', 5, 'Vegeterian', 'B');</v>
      </c>
    </row>
    <row r="245" spans="1:10" x14ac:dyDescent="0.15">
      <c r="A245" t="s">
        <v>4528</v>
      </c>
      <c r="B245" t="str">
        <f ca="1">r_choice(Table3[ID])</f>
        <v>C95</v>
      </c>
      <c r="C245" t="str">
        <f ca="1">r_choice(Table10[ID])</f>
        <v>G24</v>
      </c>
      <c r="D245" t="str">
        <f ca="1">r_choice(EXCURSION!$A$2:$A$21)</f>
        <v>E17</v>
      </c>
      <c r="E245" s="2">
        <f t="shared" ca="1" si="12"/>
        <v>42362</v>
      </c>
      <c r="F245">
        <f t="shared" ca="1" si="13"/>
        <v>6</v>
      </c>
      <c r="G245" t="str">
        <f t="shared" ca="1" si="14"/>
        <v>Non Smoking</v>
      </c>
      <c r="H245" s="3" t="str">
        <f ca="1">r_choice(Table6[ID])</f>
        <v>G</v>
      </c>
      <c r="J245" t="str">
        <f t="shared" ca="1" si="15"/>
        <v>insert into reservation values ('R214', 'C99', 'G10', 'E01', '06-Sep-2015', 3, 'Non Smoking', 'G');</v>
      </c>
    </row>
    <row r="246" spans="1:10" x14ac:dyDescent="0.15">
      <c r="A246" t="s">
        <v>4529</v>
      </c>
      <c r="B246" t="str">
        <f ca="1">r_choice(Table3[ID])</f>
        <v>C74</v>
      </c>
      <c r="C246" t="str">
        <f ca="1">r_choice(Table10[ID])</f>
        <v>G21</v>
      </c>
      <c r="D246" t="str">
        <f ca="1">r_choice(EXCURSION!$A$2:$A$21)</f>
        <v>E16</v>
      </c>
      <c r="E246" s="2">
        <f t="shared" ca="1" si="12"/>
        <v>42316</v>
      </c>
      <c r="F246">
        <f t="shared" ca="1" si="13"/>
        <v>6</v>
      </c>
      <c r="G246" t="str">
        <f t="shared" ca="1" si="14"/>
        <v>Quiet Floor</v>
      </c>
      <c r="H246" s="3" t="str">
        <f ca="1">r_choice(Table6[ID])</f>
        <v>B</v>
      </c>
      <c r="J246" t="str">
        <f t="shared" ca="1" si="15"/>
        <v>insert into reservation values ('R215', 'C55', 'G17', 'E02', '29-Jan-2015', 2, 'None', 'G');</v>
      </c>
    </row>
    <row r="247" spans="1:10" x14ac:dyDescent="0.15">
      <c r="A247" t="s">
        <v>4530</v>
      </c>
      <c r="B247" t="str">
        <f ca="1">r_choice(Table3[ID])</f>
        <v>C12</v>
      </c>
      <c r="C247" t="str">
        <f ca="1">r_choice(Table10[ID])</f>
        <v>G11</v>
      </c>
      <c r="D247" t="str">
        <f ca="1">r_choice(EXCURSION!$A$2:$A$21)</f>
        <v>E04</v>
      </c>
      <c r="E247" s="2">
        <f t="shared" ca="1" si="12"/>
        <v>42152</v>
      </c>
      <c r="F247">
        <f t="shared" ca="1" si="13"/>
        <v>2</v>
      </c>
      <c r="G247" t="str">
        <f t="shared" ca="1" si="14"/>
        <v>None</v>
      </c>
      <c r="H247" s="3" t="str">
        <f ca="1">r_choice(Table6[ID])</f>
        <v>S</v>
      </c>
      <c r="J247" t="str">
        <f t="shared" ca="1" si="15"/>
        <v>insert into reservation values ('R216', 'C13', 'G18', 'E09', '01-Nov-2015', 6, 'Pets Allowed', 'P');</v>
      </c>
    </row>
    <row r="248" spans="1:10" x14ac:dyDescent="0.15">
      <c r="A248" t="s">
        <v>4531</v>
      </c>
      <c r="B248" t="str">
        <f ca="1">r_choice(Table3[ID])</f>
        <v>C81</v>
      </c>
      <c r="C248" t="str">
        <f ca="1">r_choice(Table10[ID])</f>
        <v>G24</v>
      </c>
      <c r="D248" t="str">
        <f ca="1">r_choice(EXCURSION!$A$2:$A$21)</f>
        <v>E04</v>
      </c>
      <c r="E248" s="2">
        <f t="shared" ca="1" si="12"/>
        <v>42064</v>
      </c>
      <c r="F248">
        <f t="shared" ca="1" si="13"/>
        <v>6</v>
      </c>
      <c r="G248" t="str">
        <f t="shared" ca="1" si="14"/>
        <v>Child Proof</v>
      </c>
      <c r="H248" s="3" t="str">
        <f ca="1">r_choice(Table6[ID])</f>
        <v>B</v>
      </c>
      <c r="J248" t="str">
        <f t="shared" ca="1" si="15"/>
        <v>insert into reservation values ('R217', 'C19', 'G23', 'E01', '10-Mar-2015', 2, 'Pets Allowed', 'P');</v>
      </c>
    </row>
    <row r="249" spans="1:10" x14ac:dyDescent="0.15">
      <c r="A249" t="s">
        <v>4532</v>
      </c>
      <c r="B249" t="str">
        <f ca="1">r_choice(Table3[ID])</f>
        <v>C25</v>
      </c>
      <c r="C249" t="str">
        <f ca="1">r_choice(Table10[ID])</f>
        <v>G14</v>
      </c>
      <c r="D249" t="str">
        <f ca="1">r_choice(EXCURSION!$A$2:$A$21)</f>
        <v>E15</v>
      </c>
      <c r="E249" s="2">
        <f t="shared" ca="1" si="12"/>
        <v>42181</v>
      </c>
      <c r="F249">
        <f t="shared" ca="1" si="13"/>
        <v>4</v>
      </c>
      <c r="G249" t="str">
        <f t="shared" ca="1" si="14"/>
        <v>Quiet Floor</v>
      </c>
      <c r="H249" s="3" t="str">
        <f ca="1">r_choice(Table6[ID])</f>
        <v>S</v>
      </c>
      <c r="J249" t="str">
        <f t="shared" ca="1" si="15"/>
        <v>insert into reservation values ('R218', 'C31', 'G03', 'E06', '16-Jan-2016', 4, 'Hendicaped', 'B');</v>
      </c>
    </row>
    <row r="250" spans="1:10" x14ac:dyDescent="0.15">
      <c r="A250" t="s">
        <v>4533</v>
      </c>
      <c r="B250" t="str">
        <f ca="1">r_choice(Table3[ID])</f>
        <v>C63</v>
      </c>
      <c r="C250" t="str">
        <f ca="1">r_choice(Table10[ID])</f>
        <v>G01</v>
      </c>
      <c r="D250" t="str">
        <f ca="1">r_choice(EXCURSION!$A$2:$A$21)</f>
        <v>E12</v>
      </c>
      <c r="E250" s="2">
        <f t="shared" ca="1" si="12"/>
        <v>42369</v>
      </c>
      <c r="F250">
        <f t="shared" ca="1" si="13"/>
        <v>3</v>
      </c>
      <c r="G250" t="str">
        <f t="shared" ca="1" si="14"/>
        <v>Vegeterian</v>
      </c>
      <c r="H250" s="3" t="str">
        <f ca="1">r_choice(Table6[ID])</f>
        <v>S</v>
      </c>
      <c r="J250" t="str">
        <f t="shared" ca="1" si="15"/>
        <v>insert into reservation values ('R219', 'C100', 'G16', 'E07', '08-Mar-2015', 4, 'Quiet Floor', 'S');</v>
      </c>
    </row>
    <row r="251" spans="1:10" x14ac:dyDescent="0.15">
      <c r="A251" t="s">
        <v>4534</v>
      </c>
      <c r="B251" t="str">
        <f ca="1">r_choice(Table3[ID])</f>
        <v>C97</v>
      </c>
      <c r="C251" t="str">
        <f ca="1">r_choice(Table10[ID])</f>
        <v>G08</v>
      </c>
      <c r="D251" t="str">
        <f ca="1">r_choice(EXCURSION!$A$2:$A$21)</f>
        <v>E09</v>
      </c>
      <c r="E251" s="2">
        <f t="shared" ca="1" si="12"/>
        <v>42102</v>
      </c>
      <c r="F251">
        <f t="shared" ca="1" si="13"/>
        <v>4</v>
      </c>
      <c r="G251" t="str">
        <f t="shared" ca="1" si="14"/>
        <v>Quiet Floor</v>
      </c>
      <c r="H251" s="3" t="str">
        <f ca="1">r_choice(Table6[ID])</f>
        <v>P</v>
      </c>
      <c r="J251" t="str">
        <f t="shared" ca="1" si="15"/>
        <v>insert into reservation values ('R220', 'C42', 'G01', 'E11', '06-Jul-2015', 3, 'Vegeterian', 'P');</v>
      </c>
    </row>
    <row r="252" spans="1:10" x14ac:dyDescent="0.15">
      <c r="A252" t="s">
        <v>4619</v>
      </c>
      <c r="B252" s="3" t="str">
        <f ca="1">r_choice(Table3[ID])</f>
        <v>C69</v>
      </c>
      <c r="C252" s="3" t="str">
        <f ca="1">r_choice(Table10[ID])</f>
        <v>G18</v>
      </c>
      <c r="D252" t="str">
        <f ca="1">r_choice(EXCURSION!$A$2:$A$21)</f>
        <v>E06</v>
      </c>
      <c r="E252" s="2">
        <f t="shared" ref="E252:E283" ca="1" si="16">r_date(2015,1,2016,1)</f>
        <v>42322</v>
      </c>
      <c r="F252" s="3">
        <f t="shared" ref="F252:F283" ca="1" si="17">r_integer(1,6)</f>
        <v>4</v>
      </c>
      <c r="G252" s="3" t="str">
        <f t="shared" ca="1" si="14"/>
        <v>None</v>
      </c>
      <c r="H252" s="3" t="str">
        <f ca="1">r_choice(Table6[ID])</f>
        <v>G</v>
      </c>
      <c r="J252" t="str">
        <f t="shared" ca="1" si="15"/>
        <v>insert into reservation values ('R221', 'C65', 'G08', 'E06', '14-Mar-2015', 3, 'Child Proof', 'B');</v>
      </c>
    </row>
    <row r="253" spans="1:10" x14ac:dyDescent="0.15">
      <c r="A253" t="s">
        <v>4620</v>
      </c>
      <c r="B253" s="3" t="str">
        <f ca="1">r_choice(Table3[ID])</f>
        <v>C23</v>
      </c>
      <c r="C253" s="3" t="str">
        <f ca="1">r_choice(Table10[ID])</f>
        <v>G24</v>
      </c>
      <c r="D253" t="str">
        <f ca="1">r_choice(EXCURSION!$A$2:$A$21)</f>
        <v>E03</v>
      </c>
      <c r="E253" s="2">
        <f t="shared" ca="1" si="16"/>
        <v>42270</v>
      </c>
      <c r="F253" s="3">
        <f t="shared" ca="1" si="17"/>
        <v>5</v>
      </c>
      <c r="G253" s="3" t="str">
        <f t="shared" ca="1" si="14"/>
        <v>Pets Allowed</v>
      </c>
      <c r="H253" s="3" t="str">
        <f ca="1">r_choice(Table6[ID])</f>
        <v>S</v>
      </c>
      <c r="J253" t="str">
        <f t="shared" ca="1" si="15"/>
        <v>insert into reservation values ('R222', 'C66', 'G16', 'E01', '08-Jul-2015', 6, 'None', 'G');</v>
      </c>
    </row>
    <row r="254" spans="1:10" x14ac:dyDescent="0.15">
      <c r="A254" t="s">
        <v>4621</v>
      </c>
      <c r="B254" s="3" t="str">
        <f ca="1">r_choice(Table3[ID])</f>
        <v>C85</v>
      </c>
      <c r="C254" s="3" t="str">
        <f ca="1">r_choice(Table10[ID])</f>
        <v>G03</v>
      </c>
      <c r="D254" t="str">
        <f ca="1">r_choice(EXCURSION!$A$2:$A$21)</f>
        <v>E13</v>
      </c>
      <c r="E254" s="2">
        <f t="shared" ca="1" si="16"/>
        <v>42078</v>
      </c>
      <c r="F254" s="3">
        <f t="shared" ca="1" si="17"/>
        <v>1</v>
      </c>
      <c r="G254" s="3" t="str">
        <f t="shared" ca="1" si="14"/>
        <v>Child Proof</v>
      </c>
      <c r="H254" s="3" t="str">
        <f ca="1">r_choice(Table6[ID])</f>
        <v>G</v>
      </c>
      <c r="J254" t="str">
        <f t="shared" ca="1" si="15"/>
        <v>insert into reservation values ('R223', 'C68', 'G25', 'E19', '17-Nov-2015', 3, 'Pets Allowed', 'G');</v>
      </c>
    </row>
    <row r="255" spans="1:10" x14ac:dyDescent="0.15">
      <c r="A255" t="s">
        <v>4622</v>
      </c>
      <c r="B255" s="3" t="str">
        <f ca="1">r_choice(Table3[ID])</f>
        <v>C09</v>
      </c>
      <c r="C255" s="3" t="str">
        <f ca="1">r_choice(Table10[ID])</f>
        <v>G20</v>
      </c>
      <c r="D255" t="str">
        <f ca="1">r_choice(EXCURSION!$A$2:$A$21)</f>
        <v>E16</v>
      </c>
      <c r="E255" s="2">
        <f t="shared" ca="1" si="16"/>
        <v>42321</v>
      </c>
      <c r="F255" s="3">
        <f t="shared" ca="1" si="17"/>
        <v>1</v>
      </c>
      <c r="G255" s="3" t="str">
        <f t="shared" ca="1" si="14"/>
        <v>Quiet Floor</v>
      </c>
      <c r="H255" s="3" t="str">
        <f ca="1">r_choice(Table6[ID])</f>
        <v>G</v>
      </c>
      <c r="J255" t="str">
        <f t="shared" ca="1" si="15"/>
        <v>insert into reservation values ('R224', 'C38', 'G18', 'E06', '15-Oct-2015', 5, 'Quiet Floor', 'S');</v>
      </c>
    </row>
    <row r="256" spans="1:10" x14ac:dyDescent="0.15">
      <c r="A256" t="s">
        <v>4623</v>
      </c>
      <c r="B256" s="3" t="str">
        <f ca="1">r_choice(Table3[ID])</f>
        <v>C13</v>
      </c>
      <c r="C256" s="3" t="str">
        <f ca="1">r_choice(Table10[ID])</f>
        <v>G22</v>
      </c>
      <c r="D256" t="str">
        <f ca="1">r_choice(EXCURSION!$A$2:$A$21)</f>
        <v>E18</v>
      </c>
      <c r="E256" s="2">
        <f t="shared" ca="1" si="16"/>
        <v>42072</v>
      </c>
      <c r="F256" s="3">
        <f t="shared" ca="1" si="17"/>
        <v>3</v>
      </c>
      <c r="G256" s="3" t="str">
        <f t="shared" ca="1" si="14"/>
        <v>None</v>
      </c>
      <c r="H256" s="3" t="str">
        <f ca="1">r_choice(Table6[ID])</f>
        <v>B</v>
      </c>
      <c r="J256" t="str">
        <f t="shared" ca="1" si="15"/>
        <v>insert into reservation values ('R225', 'C26', 'G12', 'E05', '26-May-2015', 1, 'Non Smoking', 'G');</v>
      </c>
    </row>
    <row r="257" spans="1:10" x14ac:dyDescent="0.15">
      <c r="A257" t="s">
        <v>4624</v>
      </c>
      <c r="B257" s="3" t="str">
        <f ca="1">r_choice(Table3[ID])</f>
        <v>C48</v>
      </c>
      <c r="C257" s="3" t="str">
        <f ca="1">r_choice(Table10[ID])</f>
        <v>G02</v>
      </c>
      <c r="D257" t="str">
        <f ca="1">r_choice(EXCURSION!$A$2:$A$21)</f>
        <v>E04</v>
      </c>
      <c r="E257" s="2">
        <f t="shared" ca="1" si="16"/>
        <v>42211</v>
      </c>
      <c r="F257" s="3">
        <f t="shared" ca="1" si="17"/>
        <v>3</v>
      </c>
      <c r="G257" s="3" t="str">
        <f t="shared" ca="1" si="14"/>
        <v>Non Smoking</v>
      </c>
      <c r="H257" s="3" t="str">
        <f ca="1">r_choice(Table6[ID])</f>
        <v>S</v>
      </c>
      <c r="J257" t="str">
        <f t="shared" ca="1" si="15"/>
        <v>insert into reservation values ('R226', 'C73', 'G22', 'E01', '18-Jun-2015', 3, 'Quiet Floor', 'B');</v>
      </c>
    </row>
    <row r="258" spans="1:10" x14ac:dyDescent="0.15">
      <c r="A258" t="s">
        <v>4625</v>
      </c>
      <c r="B258" s="3" t="str">
        <f ca="1">r_choice(Table3[ID])</f>
        <v>C73</v>
      </c>
      <c r="C258" s="3" t="str">
        <f ca="1">r_choice(Table10[ID])</f>
        <v>G24</v>
      </c>
      <c r="D258" t="str">
        <f ca="1">r_choice(EXCURSION!$A$2:$A$21)</f>
        <v>E12</v>
      </c>
      <c r="E258" s="2">
        <f t="shared" ca="1" si="16"/>
        <v>42337</v>
      </c>
      <c r="F258" s="3">
        <f t="shared" ca="1" si="17"/>
        <v>1</v>
      </c>
      <c r="G258" s="3" t="str">
        <f t="shared" ref="G258:G301" ca="1" si="18">r_choice($I$9:$I$15)</f>
        <v>Hendicaped</v>
      </c>
      <c r="H258" s="3" t="str">
        <f ca="1">r_choice(Table6[ID])</f>
        <v>S</v>
      </c>
      <c r="J258" t="str">
        <f t="shared" ca="1" si="15"/>
        <v>insert into reservation values ('R227', 'C76', 'G10', 'E11', '12-Jun-2015', 1, 'Quiet Floor', 'B');</v>
      </c>
    </row>
    <row r="259" spans="1:10" x14ac:dyDescent="0.15">
      <c r="A259" t="s">
        <v>4626</v>
      </c>
      <c r="B259" s="3" t="str">
        <f ca="1">r_choice(Table3[ID])</f>
        <v>C99</v>
      </c>
      <c r="C259" s="3" t="str">
        <f ca="1">r_choice(Table10[ID])</f>
        <v>G25</v>
      </c>
      <c r="D259" t="str">
        <f ca="1">r_choice(EXCURSION!$A$2:$A$21)</f>
        <v>E18</v>
      </c>
      <c r="E259" s="2">
        <f t="shared" ca="1" si="16"/>
        <v>42172</v>
      </c>
      <c r="F259" s="3">
        <f t="shared" ca="1" si="17"/>
        <v>3</v>
      </c>
      <c r="G259" s="3" t="str">
        <f t="shared" ca="1" si="18"/>
        <v>Non Smoking</v>
      </c>
      <c r="H259" s="3" t="str">
        <f ca="1">r_choice(Table6[ID])</f>
        <v>P</v>
      </c>
      <c r="J259" t="str">
        <f t="shared" ca="1" si="15"/>
        <v>insert into reservation values ('R228', 'C26', 'G22', 'E12', '27-May-2015', 3, 'Pets Allowed', 'B');</v>
      </c>
    </row>
    <row r="260" spans="1:10" x14ac:dyDescent="0.15">
      <c r="A260" t="s">
        <v>4627</v>
      </c>
      <c r="B260" s="3" t="str">
        <f ca="1">r_choice(Table3[ID])</f>
        <v>C33</v>
      </c>
      <c r="C260" s="3" t="str">
        <f ca="1">r_choice(Table10[ID])</f>
        <v>G05</v>
      </c>
      <c r="D260" t="str">
        <f ca="1">r_choice(EXCURSION!$A$2:$A$21)</f>
        <v>E15</v>
      </c>
      <c r="E260" s="2">
        <f t="shared" ca="1" si="16"/>
        <v>42310</v>
      </c>
      <c r="F260" s="3">
        <f t="shared" ca="1" si="17"/>
        <v>2</v>
      </c>
      <c r="G260" s="3" t="str">
        <f t="shared" ca="1" si="18"/>
        <v>Vegeterian</v>
      </c>
      <c r="H260" s="3" t="str">
        <f ca="1">r_choice(Table6[ID])</f>
        <v>B</v>
      </c>
      <c r="J260" t="str">
        <f t="shared" ca="1" si="15"/>
        <v>insert into reservation values ('R229', 'C02', 'G25', 'E06', '21-Jul-2015', 6, 'Vegeterian', 'S');</v>
      </c>
    </row>
    <row r="261" spans="1:10" x14ac:dyDescent="0.15">
      <c r="A261" t="s">
        <v>4628</v>
      </c>
      <c r="B261" s="3" t="str">
        <f ca="1">r_choice(Table3[ID])</f>
        <v>C34</v>
      </c>
      <c r="C261" s="3" t="str">
        <f ca="1">r_choice(Table10[ID])</f>
        <v>G05</v>
      </c>
      <c r="D261" t="str">
        <f ca="1">r_choice(EXCURSION!$A$2:$A$21)</f>
        <v>E19</v>
      </c>
      <c r="E261" s="2">
        <f t="shared" ca="1" si="16"/>
        <v>42379</v>
      </c>
      <c r="F261" s="3">
        <f t="shared" ca="1" si="17"/>
        <v>5</v>
      </c>
      <c r="G261" s="3" t="str">
        <f t="shared" ca="1" si="18"/>
        <v>Non Smoking</v>
      </c>
      <c r="H261" s="3" t="str">
        <f ca="1">r_choice(Table6[ID])</f>
        <v>S</v>
      </c>
      <c r="J261" t="str">
        <f t="shared" ca="1" si="15"/>
        <v>insert into reservation values ('R230', 'C75', 'G07', 'E18', '14-May-2015', 1, 'Vegeterian', 'B');</v>
      </c>
    </row>
    <row r="262" spans="1:10" x14ac:dyDescent="0.15">
      <c r="A262" t="s">
        <v>4629</v>
      </c>
      <c r="B262" s="3" t="str">
        <f ca="1">r_choice(Table3[ID])</f>
        <v>C79</v>
      </c>
      <c r="C262" s="3" t="str">
        <f ca="1">r_choice(Table10[ID])</f>
        <v>G09</v>
      </c>
      <c r="D262" t="str">
        <f ca="1">r_choice(EXCURSION!$A$2:$A$21)</f>
        <v>E18</v>
      </c>
      <c r="E262" s="2">
        <f t="shared" ca="1" si="16"/>
        <v>42321</v>
      </c>
      <c r="F262" s="3">
        <f t="shared" ca="1" si="17"/>
        <v>6</v>
      </c>
      <c r="G262" s="3" t="str">
        <f t="shared" ca="1" si="18"/>
        <v>Pets Allowed</v>
      </c>
      <c r="H262" s="3" t="str">
        <f ca="1">r_choice(Table6[ID])</f>
        <v>P</v>
      </c>
      <c r="J262" t="str">
        <f t="shared" ca="1" si="15"/>
        <v>insert into reservation values ('R231', 'C49', 'G15', 'E19', '12-Apr-2015', 4, 'Child Proof', 'S');</v>
      </c>
    </row>
    <row r="263" spans="1:10" x14ac:dyDescent="0.15">
      <c r="A263" t="s">
        <v>4630</v>
      </c>
      <c r="B263" s="3" t="str">
        <f ca="1">r_choice(Table3[ID])</f>
        <v>C28</v>
      </c>
      <c r="C263" s="3" t="str">
        <f ca="1">r_choice(Table10[ID])</f>
        <v>G10</v>
      </c>
      <c r="D263" t="str">
        <f ca="1">r_choice(EXCURSION!$A$2:$A$21)</f>
        <v>E11</v>
      </c>
      <c r="E263" s="2">
        <f t="shared" ca="1" si="16"/>
        <v>42306</v>
      </c>
      <c r="F263" s="3">
        <f t="shared" ca="1" si="17"/>
        <v>4</v>
      </c>
      <c r="G263" s="3" t="str">
        <f t="shared" ca="1" si="18"/>
        <v>None</v>
      </c>
      <c r="H263" s="3" t="str">
        <f ca="1">r_choice(Table6[ID])</f>
        <v>P</v>
      </c>
      <c r="J263" t="str">
        <f t="shared" ca="1" si="15"/>
        <v>insert into reservation values ('R232', 'C33', 'G10', 'E09', '20-Oct-2015', 6, 'Hendicaped', 'P');</v>
      </c>
    </row>
    <row r="264" spans="1:10" x14ac:dyDescent="0.15">
      <c r="A264" t="s">
        <v>4631</v>
      </c>
      <c r="B264" s="3" t="str">
        <f ca="1">r_choice(Table3[ID])</f>
        <v>C02</v>
      </c>
      <c r="C264" s="3" t="str">
        <f ca="1">r_choice(Table10[ID])</f>
        <v>G13</v>
      </c>
      <c r="D264" t="str">
        <f ca="1">r_choice(EXCURSION!$A$2:$A$21)</f>
        <v>E15</v>
      </c>
      <c r="E264" s="2">
        <f t="shared" ca="1" si="16"/>
        <v>42018</v>
      </c>
      <c r="F264" s="3">
        <f t="shared" ca="1" si="17"/>
        <v>6</v>
      </c>
      <c r="G264" s="3" t="str">
        <f t="shared" ca="1" si="18"/>
        <v>Hendicaped</v>
      </c>
      <c r="H264" s="3" t="str">
        <f ca="1">r_choice(Table6[ID])</f>
        <v>G</v>
      </c>
      <c r="J264" t="str">
        <f t="shared" ca="1" si="15"/>
        <v>insert into reservation values ('R233', 'C02', 'G23', 'E05', '31-Jul-2015', 6, 'Vegeterian', 'B');</v>
      </c>
    </row>
    <row r="265" spans="1:10" x14ac:dyDescent="0.15">
      <c r="A265" t="s">
        <v>4632</v>
      </c>
      <c r="B265" s="3" t="str">
        <f ca="1">r_choice(Table3[ID])</f>
        <v>C76</v>
      </c>
      <c r="C265" s="3" t="str">
        <f ca="1">r_choice(Table10[ID])</f>
        <v>G07</v>
      </c>
      <c r="D265" t="str">
        <f ca="1">r_choice(EXCURSION!$A$2:$A$21)</f>
        <v>E10</v>
      </c>
      <c r="E265" s="2">
        <f t="shared" ca="1" si="16"/>
        <v>42170</v>
      </c>
      <c r="F265" s="3">
        <f t="shared" ca="1" si="17"/>
        <v>5</v>
      </c>
      <c r="G265" s="3" t="str">
        <f t="shared" ca="1" si="18"/>
        <v>Quiet Floor</v>
      </c>
      <c r="H265" s="3" t="str">
        <f ca="1">r_choice(Table6[ID])</f>
        <v>S</v>
      </c>
      <c r="J265" t="str">
        <f t="shared" ca="1" si="15"/>
        <v>insert into reservation values ('R234', 'C61', 'G08', 'E15', '17-Jul-2015', 2, 'None', 'P');</v>
      </c>
    </row>
    <row r="266" spans="1:10" x14ac:dyDescent="0.15">
      <c r="A266" t="s">
        <v>4633</v>
      </c>
      <c r="B266" s="3" t="str">
        <f ca="1">r_choice(Table3[ID])</f>
        <v>C25</v>
      </c>
      <c r="C266" s="3" t="str">
        <f ca="1">r_choice(Table10[ID])</f>
        <v>G12</v>
      </c>
      <c r="D266" t="str">
        <f ca="1">r_choice(EXCURSION!$A$2:$A$21)</f>
        <v>E11</v>
      </c>
      <c r="E266" s="2">
        <f t="shared" ca="1" si="16"/>
        <v>42052</v>
      </c>
      <c r="F266" s="3">
        <f t="shared" ca="1" si="17"/>
        <v>1</v>
      </c>
      <c r="G266" s="3" t="str">
        <f t="shared" ca="1" si="18"/>
        <v>None</v>
      </c>
      <c r="H266" s="3" t="str">
        <f ca="1">r_choice(Table6[ID])</f>
        <v>B</v>
      </c>
      <c r="J266" t="str">
        <f t="shared" ca="1" si="15"/>
        <v>insert into reservation values ('R235', 'C45', 'G01', 'E11', '14-Jan-2015', 3, 'Vegeterian', 'G');</v>
      </c>
    </row>
    <row r="267" spans="1:10" x14ac:dyDescent="0.15">
      <c r="A267" t="s">
        <v>4634</v>
      </c>
      <c r="B267" s="3" t="str">
        <f ca="1">r_choice(Table3[ID])</f>
        <v>C13</v>
      </c>
      <c r="C267" s="3" t="str">
        <f ca="1">r_choice(Table10[ID])</f>
        <v>G16</v>
      </c>
      <c r="D267" t="str">
        <f ca="1">r_choice(EXCURSION!$A$2:$A$21)</f>
        <v>E01</v>
      </c>
      <c r="E267" s="2">
        <f t="shared" ca="1" si="16"/>
        <v>42095</v>
      </c>
      <c r="F267" s="3">
        <f t="shared" ca="1" si="17"/>
        <v>3</v>
      </c>
      <c r="G267" s="3" t="str">
        <f t="shared" ca="1" si="18"/>
        <v>Hendicaped</v>
      </c>
      <c r="H267" s="3" t="str">
        <f ca="1">r_choice(Table6[ID])</f>
        <v>G</v>
      </c>
      <c r="J267" t="str">
        <f t="shared" ca="1" si="15"/>
        <v>insert into reservation values ('R236', 'C12', 'G10', 'E15', '21-Mar-2015', 6, 'Non Smoking', 'B');</v>
      </c>
    </row>
    <row r="268" spans="1:10" x14ac:dyDescent="0.15">
      <c r="A268" t="s">
        <v>4635</v>
      </c>
      <c r="B268" s="3" t="str">
        <f ca="1">r_choice(Table3[ID])</f>
        <v>C29</v>
      </c>
      <c r="C268" s="3" t="str">
        <f ca="1">r_choice(Table10[ID])</f>
        <v>G11</v>
      </c>
      <c r="D268" t="str">
        <f ca="1">r_choice(EXCURSION!$A$2:$A$21)</f>
        <v>E10</v>
      </c>
      <c r="E268" s="2">
        <f t="shared" ca="1" si="16"/>
        <v>42305</v>
      </c>
      <c r="F268" s="3">
        <f t="shared" ca="1" si="17"/>
        <v>2</v>
      </c>
      <c r="G268" s="3" t="str">
        <f t="shared" ca="1" si="18"/>
        <v>Non Smoking</v>
      </c>
      <c r="H268" s="3" t="str">
        <f ca="1">r_choice(Table6[ID])</f>
        <v>P</v>
      </c>
      <c r="J268" t="str">
        <f t="shared" ca="1" si="15"/>
        <v>insert into reservation values ('R237', 'C81', 'G05', 'E15', '05-Jan-2015', 2, 'Pets Allowed', 'G');</v>
      </c>
    </row>
    <row r="269" spans="1:10" x14ac:dyDescent="0.15">
      <c r="A269" t="s">
        <v>4636</v>
      </c>
      <c r="B269" s="3" t="str">
        <f ca="1">r_choice(Table3[ID])</f>
        <v>C81</v>
      </c>
      <c r="C269" s="3" t="str">
        <f ca="1">r_choice(Table10[ID])</f>
        <v>G16</v>
      </c>
      <c r="D269" t="str">
        <f ca="1">r_choice(EXCURSION!$A$2:$A$21)</f>
        <v>E18</v>
      </c>
      <c r="E269" s="2">
        <f t="shared" ca="1" si="16"/>
        <v>42170</v>
      </c>
      <c r="F269" s="3">
        <f t="shared" ca="1" si="17"/>
        <v>6</v>
      </c>
      <c r="G269" s="3" t="str">
        <f t="shared" ca="1" si="18"/>
        <v>Hendicaped</v>
      </c>
      <c r="H269" s="3" t="str">
        <f ca="1">r_choice(Table6[ID])</f>
        <v>S</v>
      </c>
      <c r="J269" t="str">
        <f t="shared" ca="1" si="15"/>
        <v>insert into reservation values ('R238', 'C64', 'G24', 'E16', '05-Jul-2015', 4, 'Hendicaped', 'P');</v>
      </c>
    </row>
    <row r="270" spans="1:10" x14ac:dyDescent="0.15">
      <c r="A270" t="s">
        <v>4637</v>
      </c>
      <c r="B270" s="3" t="str">
        <f ca="1">r_choice(Table3[ID])</f>
        <v>C05</v>
      </c>
      <c r="C270" s="3" t="str">
        <f ca="1">r_choice(Table10[ID])</f>
        <v>G08</v>
      </c>
      <c r="D270" t="str">
        <f ca="1">r_choice(EXCURSION!$A$2:$A$21)</f>
        <v>E07</v>
      </c>
      <c r="E270" s="2">
        <f t="shared" ca="1" si="16"/>
        <v>42196</v>
      </c>
      <c r="F270" s="3">
        <f t="shared" ca="1" si="17"/>
        <v>3</v>
      </c>
      <c r="G270" s="3" t="str">
        <f t="shared" ca="1" si="18"/>
        <v>Non Smoking</v>
      </c>
      <c r="H270" s="3" t="str">
        <f ca="1">r_choice(Table6[ID])</f>
        <v>G</v>
      </c>
      <c r="J270" t="str">
        <f t="shared" ca="1" si="15"/>
        <v>insert into reservation values ('R239', 'C48', 'G07', 'E20', '05-May-2015', 2, 'Pets Allowed', 'G');</v>
      </c>
    </row>
    <row r="271" spans="1:10" x14ac:dyDescent="0.15">
      <c r="A271" t="s">
        <v>4638</v>
      </c>
      <c r="B271" s="3" t="str">
        <f ca="1">r_choice(Table3[ID])</f>
        <v>C26</v>
      </c>
      <c r="C271" s="3" t="str">
        <f ca="1">r_choice(Table10[ID])</f>
        <v>G19</v>
      </c>
      <c r="D271" t="str">
        <f ca="1">r_choice(EXCURSION!$A$2:$A$21)</f>
        <v>E14</v>
      </c>
      <c r="E271" s="2">
        <f t="shared" ca="1" si="16"/>
        <v>42205</v>
      </c>
      <c r="F271" s="3">
        <f t="shared" ca="1" si="17"/>
        <v>3</v>
      </c>
      <c r="G271" s="3" t="str">
        <f t="shared" ca="1" si="18"/>
        <v>Quiet Floor</v>
      </c>
      <c r="H271" s="3" t="str">
        <f ca="1">r_choice(Table6[ID])</f>
        <v>P</v>
      </c>
      <c r="J271" t="str">
        <f t="shared" ca="1" si="15"/>
        <v>insert into reservation values ('R240', 'C85', 'G22', 'E12', '04-Sep-2015', 1, 'Pets Allowed', 'B');</v>
      </c>
    </row>
    <row r="272" spans="1:10" x14ac:dyDescent="0.15">
      <c r="A272" t="s">
        <v>4639</v>
      </c>
      <c r="B272" s="3" t="str">
        <f ca="1">r_choice(Table3[ID])</f>
        <v>C88</v>
      </c>
      <c r="C272" s="3" t="str">
        <f ca="1">r_choice(Table10[ID])</f>
        <v>G15</v>
      </c>
      <c r="D272" t="str">
        <f ca="1">r_choice(EXCURSION!$A$2:$A$21)</f>
        <v>E12</v>
      </c>
      <c r="E272" s="2">
        <f t="shared" ca="1" si="16"/>
        <v>42263</v>
      </c>
      <c r="F272" s="3">
        <f t="shared" ca="1" si="17"/>
        <v>5</v>
      </c>
      <c r="G272" s="3" t="str">
        <f t="shared" ca="1" si="18"/>
        <v>Vegeterian</v>
      </c>
      <c r="H272" s="3" t="str">
        <f ca="1">r_choice(Table6[ID])</f>
        <v>G</v>
      </c>
      <c r="J272" t="str">
        <f t="shared" ca="1" si="15"/>
        <v>insert into reservation values ('R241', 'C71', 'G03', 'E19', '13-Sep-2015', 3, 'Non Smoking', 'G');</v>
      </c>
    </row>
    <row r="273" spans="1:10" x14ac:dyDescent="0.15">
      <c r="A273" t="s">
        <v>4640</v>
      </c>
      <c r="B273" s="3" t="str">
        <f ca="1">r_choice(Table3[ID])</f>
        <v>C66</v>
      </c>
      <c r="C273" s="3" t="str">
        <f ca="1">r_choice(Table10[ID])</f>
        <v>G08</v>
      </c>
      <c r="D273" t="str">
        <f ca="1">r_choice(EXCURSION!$A$2:$A$21)</f>
        <v>E08</v>
      </c>
      <c r="E273" s="2">
        <f t="shared" ca="1" si="16"/>
        <v>42380</v>
      </c>
      <c r="F273" s="3">
        <f t="shared" ca="1" si="17"/>
        <v>1</v>
      </c>
      <c r="G273" s="3" t="str">
        <f t="shared" ca="1" si="18"/>
        <v>Pets Allowed</v>
      </c>
      <c r="H273" s="3" t="str">
        <f ca="1">r_choice(Table6[ID])</f>
        <v>B</v>
      </c>
      <c r="J273" t="str">
        <f t="shared" ca="1" si="15"/>
        <v>insert into reservation values ('R242', 'C27', 'G04', 'E14', '11-Aug-2015', 1, 'Child Proof', 'G');</v>
      </c>
    </row>
    <row r="274" spans="1:10" x14ac:dyDescent="0.15">
      <c r="A274" t="s">
        <v>4641</v>
      </c>
      <c r="B274" s="3" t="str">
        <f ca="1">r_choice(Table3[ID])</f>
        <v>C18</v>
      </c>
      <c r="C274" s="3" t="str">
        <f ca="1">r_choice(Table10[ID])</f>
        <v>G08</v>
      </c>
      <c r="D274" t="str">
        <f ca="1">r_choice(EXCURSION!$A$2:$A$21)</f>
        <v>E10</v>
      </c>
      <c r="E274" s="2">
        <f t="shared" ca="1" si="16"/>
        <v>42294</v>
      </c>
      <c r="F274" s="3">
        <f t="shared" ca="1" si="17"/>
        <v>5</v>
      </c>
      <c r="G274" s="3" t="str">
        <f t="shared" ca="1" si="18"/>
        <v>Pets Allowed</v>
      </c>
      <c r="H274" s="3" t="str">
        <f ca="1">r_choice(Table6[ID])</f>
        <v>B</v>
      </c>
      <c r="J274" t="str">
        <f t="shared" ca="1" si="15"/>
        <v>insert into reservation values ('R243', 'C24', 'G11', 'E08', '28-Jan-2015', 3, 'Pets Allowed', 'S');</v>
      </c>
    </row>
    <row r="275" spans="1:10" x14ac:dyDescent="0.15">
      <c r="A275" t="s">
        <v>4642</v>
      </c>
      <c r="B275" s="3" t="str">
        <f ca="1">r_choice(Table3[ID])</f>
        <v>C88</v>
      </c>
      <c r="C275" s="3" t="str">
        <f ca="1">r_choice(Table10[ID])</f>
        <v>G23</v>
      </c>
      <c r="D275" t="str">
        <f ca="1">r_choice(EXCURSION!$A$2:$A$21)</f>
        <v>E06</v>
      </c>
      <c r="E275" s="2">
        <f t="shared" ca="1" si="16"/>
        <v>42020</v>
      </c>
      <c r="F275" s="3">
        <f t="shared" ca="1" si="17"/>
        <v>5</v>
      </c>
      <c r="G275" s="3" t="str">
        <f t="shared" ca="1" si="18"/>
        <v>Hendicaped</v>
      </c>
      <c r="H275" s="3" t="str">
        <f ca="1">r_choice(Table6[ID])</f>
        <v>P</v>
      </c>
      <c r="J275" t="str">
        <f t="shared" ca="1" si="15"/>
        <v>insert into reservation values ('R244', 'C95', 'G24', 'E17', '24-Dec-2015', 6, 'Non Smoking', 'G');</v>
      </c>
    </row>
    <row r="276" spans="1:10" x14ac:dyDescent="0.15">
      <c r="A276" t="s">
        <v>4643</v>
      </c>
      <c r="B276" s="3" t="str">
        <f ca="1">r_choice(Table3[ID])</f>
        <v>C06</v>
      </c>
      <c r="C276" s="3" t="str">
        <f ca="1">r_choice(Table10[ID])</f>
        <v>G09</v>
      </c>
      <c r="D276" t="str">
        <f ca="1">r_choice(EXCURSION!$A$2:$A$21)</f>
        <v>E10</v>
      </c>
      <c r="E276" s="2">
        <f t="shared" ca="1" si="16"/>
        <v>42322</v>
      </c>
      <c r="F276" s="3">
        <f t="shared" ca="1" si="17"/>
        <v>3</v>
      </c>
      <c r="G276" s="3" t="str">
        <f t="shared" ca="1" si="18"/>
        <v>Hendicaped</v>
      </c>
      <c r="H276" s="3" t="str">
        <f ca="1">r_choice(Table6[ID])</f>
        <v>B</v>
      </c>
      <c r="J276" t="str">
        <f t="shared" ca="1" si="15"/>
        <v>insert into reservation values ('R245', 'C74', 'G21', 'E16', '08-Nov-2015', 6, 'Quiet Floor', 'B');</v>
      </c>
    </row>
    <row r="277" spans="1:10" x14ac:dyDescent="0.15">
      <c r="A277" t="s">
        <v>4644</v>
      </c>
      <c r="B277" s="3" t="str">
        <f ca="1">r_choice(Table3[ID])</f>
        <v>C04</v>
      </c>
      <c r="C277" s="3" t="str">
        <f ca="1">r_choice(Table10[ID])</f>
        <v>G15</v>
      </c>
      <c r="D277" t="str">
        <f ca="1">r_choice(EXCURSION!$A$2:$A$21)</f>
        <v>E19</v>
      </c>
      <c r="E277" s="2">
        <f t="shared" ca="1" si="16"/>
        <v>42016</v>
      </c>
      <c r="F277" s="3">
        <f t="shared" ca="1" si="17"/>
        <v>6</v>
      </c>
      <c r="G277" s="3" t="str">
        <f t="shared" ca="1" si="18"/>
        <v>None</v>
      </c>
      <c r="H277" s="3" t="str">
        <f ca="1">r_choice(Table6[ID])</f>
        <v>G</v>
      </c>
      <c r="J277" t="str">
        <f t="shared" ca="1" si="15"/>
        <v>insert into reservation values ('R246', 'C12', 'G11', 'E04', '28-May-2015', 2, 'None', 'S');</v>
      </c>
    </row>
    <row r="278" spans="1:10" x14ac:dyDescent="0.15">
      <c r="A278" t="s">
        <v>4645</v>
      </c>
      <c r="B278" s="3" t="str">
        <f ca="1">r_choice(Table3[ID])</f>
        <v>C99</v>
      </c>
      <c r="C278" s="3" t="str">
        <f ca="1">r_choice(Table10[ID])</f>
        <v>G21</v>
      </c>
      <c r="D278" t="str">
        <f ca="1">r_choice(EXCURSION!$A$2:$A$21)</f>
        <v>E01</v>
      </c>
      <c r="E278" s="2">
        <f t="shared" ca="1" si="16"/>
        <v>42136</v>
      </c>
      <c r="F278" s="3">
        <f t="shared" ca="1" si="17"/>
        <v>4</v>
      </c>
      <c r="G278" s="3" t="str">
        <f t="shared" ca="1" si="18"/>
        <v>Vegeterian</v>
      </c>
      <c r="H278" s="3" t="str">
        <f ca="1">r_choice(Table6[ID])</f>
        <v>G</v>
      </c>
      <c r="J278" t="str">
        <f t="shared" ca="1" si="15"/>
        <v>insert into reservation values ('R247', 'C81', 'G24', 'E04', '01-Mar-2015', 6, 'Child Proof', 'B');</v>
      </c>
    </row>
    <row r="279" spans="1:10" x14ac:dyDescent="0.15">
      <c r="A279" t="s">
        <v>4646</v>
      </c>
      <c r="B279" s="3" t="str">
        <f ca="1">r_choice(Table3[ID])</f>
        <v>C68</v>
      </c>
      <c r="C279" s="3" t="str">
        <f ca="1">r_choice(Table10[ID])</f>
        <v>G18</v>
      </c>
      <c r="D279" t="str">
        <f ca="1">r_choice(EXCURSION!$A$2:$A$21)</f>
        <v>E13</v>
      </c>
      <c r="E279" s="2">
        <f t="shared" ca="1" si="16"/>
        <v>42217</v>
      </c>
      <c r="F279" s="3">
        <f t="shared" ca="1" si="17"/>
        <v>1</v>
      </c>
      <c r="G279" s="3" t="str">
        <f t="shared" ca="1" si="18"/>
        <v>Quiet Floor</v>
      </c>
      <c r="H279" s="3" t="str">
        <f ca="1">r_choice(Table6[ID])</f>
        <v>G</v>
      </c>
      <c r="J279" t="str">
        <f t="shared" ca="1" si="15"/>
        <v>insert into reservation values ('R248', 'C25', 'G14', 'E15', '26-Jun-2015', 4, 'Quiet Floor', 'S');</v>
      </c>
    </row>
    <row r="280" spans="1:10" x14ac:dyDescent="0.15">
      <c r="A280" t="s">
        <v>4647</v>
      </c>
      <c r="B280" s="3" t="str">
        <f ca="1">r_choice(Table3[ID])</f>
        <v>C10</v>
      </c>
      <c r="C280" s="3" t="str">
        <f ca="1">r_choice(Table10[ID])</f>
        <v>G03</v>
      </c>
      <c r="D280" t="str">
        <f ca="1">r_choice(EXCURSION!$A$2:$A$21)</f>
        <v>E12</v>
      </c>
      <c r="E280" s="2">
        <f t="shared" ca="1" si="16"/>
        <v>42080</v>
      </c>
      <c r="F280" s="3">
        <f t="shared" ca="1" si="17"/>
        <v>4</v>
      </c>
      <c r="G280" s="3" t="str">
        <f t="shared" ca="1" si="18"/>
        <v>Pets Allowed</v>
      </c>
      <c r="H280" s="3" t="str">
        <f ca="1">r_choice(Table6[ID])</f>
        <v>P</v>
      </c>
      <c r="J280" t="str">
        <f t="shared" ca="1" si="15"/>
        <v>insert into reservation values ('R249', 'C63', 'G01', 'E12', '31-Dec-2015', 3, 'Vegeterian', 'S');</v>
      </c>
    </row>
    <row r="281" spans="1:10" x14ac:dyDescent="0.15">
      <c r="A281" t="s">
        <v>4648</v>
      </c>
      <c r="B281" s="3" t="str">
        <f ca="1">r_choice(Table3[ID])</f>
        <v>C30</v>
      </c>
      <c r="C281" s="3" t="str">
        <f ca="1">r_choice(Table10[ID])</f>
        <v>G14</v>
      </c>
      <c r="D281" t="str">
        <f ca="1">r_choice(EXCURSION!$A$2:$A$21)</f>
        <v>E18</v>
      </c>
      <c r="E281" s="2">
        <f t="shared" ca="1" si="16"/>
        <v>42078</v>
      </c>
      <c r="F281" s="3">
        <f t="shared" ca="1" si="17"/>
        <v>6</v>
      </c>
      <c r="G281" s="3" t="str">
        <f t="shared" ca="1" si="18"/>
        <v>Non Smoking</v>
      </c>
      <c r="H281" s="3" t="str">
        <f ca="1">r_choice(Table6[ID])</f>
        <v>B</v>
      </c>
      <c r="J281" t="str">
        <f t="shared" ca="1" si="15"/>
        <v>insert into reservation values ('R250', 'C97', 'G08', 'E09', '08-Apr-2015', 4, 'Quiet Floor', 'P');</v>
      </c>
    </row>
    <row r="282" spans="1:10" x14ac:dyDescent="0.15">
      <c r="A282" t="s">
        <v>4649</v>
      </c>
      <c r="B282" s="3" t="str">
        <f ca="1">r_choice(Table3[ID])</f>
        <v>C91</v>
      </c>
      <c r="C282" s="3" t="str">
        <f ca="1">r_choice(Table10[ID])</f>
        <v>G14</v>
      </c>
      <c r="D282" t="str">
        <f ca="1">r_choice(EXCURSION!$A$2:$A$21)</f>
        <v>E11</v>
      </c>
      <c r="E282" s="2">
        <f t="shared" ca="1" si="16"/>
        <v>42361</v>
      </c>
      <c r="F282" s="3">
        <f t="shared" ca="1" si="17"/>
        <v>2</v>
      </c>
      <c r="G282" s="3" t="str">
        <f t="shared" ca="1" si="18"/>
        <v>Non Smoking</v>
      </c>
      <c r="H282" s="3" t="str">
        <f ca="1">r_choice(Table6[ID])</f>
        <v>S</v>
      </c>
      <c r="J282" t="str">
        <f t="shared" ca="1" si="15"/>
        <v>insert into reservation values ('R251', 'C69', 'G18', 'E06', '14-Nov-2015', 4, 'None', 'G');</v>
      </c>
    </row>
    <row r="283" spans="1:10" x14ac:dyDescent="0.15">
      <c r="A283" t="s">
        <v>4650</v>
      </c>
      <c r="B283" s="3" t="str">
        <f ca="1">r_choice(Table3[ID])</f>
        <v>C35</v>
      </c>
      <c r="C283" s="3" t="str">
        <f ca="1">r_choice(Table10[ID])</f>
        <v>G20</v>
      </c>
      <c r="D283" t="str">
        <f ca="1">r_choice(EXCURSION!$A$2:$A$21)</f>
        <v>E03</v>
      </c>
      <c r="E283" s="2">
        <f t="shared" ca="1" si="16"/>
        <v>42195</v>
      </c>
      <c r="F283" s="3">
        <f t="shared" ca="1" si="17"/>
        <v>1</v>
      </c>
      <c r="G283" s="3" t="str">
        <f t="shared" ca="1" si="18"/>
        <v>None</v>
      </c>
      <c r="H283" s="3" t="str">
        <f ca="1">r_choice(Table6[ID])</f>
        <v>S</v>
      </c>
      <c r="J283" t="str">
        <f t="shared" ca="1" si="15"/>
        <v>insert into reservation values ('R252', 'C23', 'G24', 'E03', '23-Sep-2015', 5, 'Pets Allowed', 'S');</v>
      </c>
    </row>
    <row r="284" spans="1:10" x14ac:dyDescent="0.15">
      <c r="A284" t="s">
        <v>4651</v>
      </c>
      <c r="B284" s="3" t="str">
        <f ca="1">r_choice(Table3[ID])</f>
        <v>C85</v>
      </c>
      <c r="C284" s="3" t="str">
        <f ca="1">r_choice(Table10[ID])</f>
        <v>G25</v>
      </c>
      <c r="D284" t="str">
        <f ca="1">r_choice(EXCURSION!$A$2:$A$21)</f>
        <v>E20</v>
      </c>
      <c r="E284" s="2">
        <f t="shared" ref="E284:E300" ca="1" si="19">r_date(2015,1,2016,1)</f>
        <v>42078</v>
      </c>
      <c r="F284" s="3">
        <f t="shared" ref="F284:F300" ca="1" si="20">r_integer(1,6)</f>
        <v>1</v>
      </c>
      <c r="G284" s="3" t="str">
        <f t="shared" ca="1" si="18"/>
        <v>Pets Allowed</v>
      </c>
      <c r="H284" s="3" t="str">
        <f ca="1">r_choice(Table6[ID])</f>
        <v>S</v>
      </c>
      <c r="J284" t="str">
        <f t="shared" ca="1" si="15"/>
        <v>insert into reservation values ('R253', 'C85', 'G03', 'E13', '15-Mar-2015', 1, 'Child Proof', 'G');</v>
      </c>
    </row>
    <row r="285" spans="1:10" x14ac:dyDescent="0.15">
      <c r="A285" t="s">
        <v>4652</v>
      </c>
      <c r="B285" s="3" t="str">
        <f ca="1">r_choice(Table3[ID])</f>
        <v>C72</v>
      </c>
      <c r="C285" s="3" t="str">
        <f ca="1">r_choice(Table10[ID])</f>
        <v>G14</v>
      </c>
      <c r="D285" t="str">
        <f ca="1">r_choice(EXCURSION!$A$2:$A$21)</f>
        <v>E04</v>
      </c>
      <c r="E285" s="2">
        <f t="shared" ca="1" si="19"/>
        <v>42387</v>
      </c>
      <c r="F285" s="3">
        <f t="shared" ca="1" si="20"/>
        <v>3</v>
      </c>
      <c r="G285" s="3" t="str">
        <f t="shared" ca="1" si="18"/>
        <v>Quiet Floor</v>
      </c>
      <c r="H285" s="3" t="str">
        <f ca="1">r_choice(Table6[ID])</f>
        <v>S</v>
      </c>
      <c r="J285" t="str">
        <f t="shared" ca="1" si="15"/>
        <v>insert into reservation values ('R254', 'C09', 'G20', 'E16', '13-Nov-2015', 1, 'Quiet Floor', 'G');</v>
      </c>
    </row>
    <row r="286" spans="1:10" x14ac:dyDescent="0.15">
      <c r="A286" t="s">
        <v>4653</v>
      </c>
      <c r="B286" s="3" t="str">
        <f ca="1">r_choice(Table3[ID])</f>
        <v>C79</v>
      </c>
      <c r="C286" s="3" t="str">
        <f ca="1">r_choice(Table10[ID])</f>
        <v>G02</v>
      </c>
      <c r="D286" t="str">
        <f ca="1">r_choice(EXCURSION!$A$2:$A$21)</f>
        <v>E06</v>
      </c>
      <c r="E286" s="2">
        <f t="shared" ca="1" si="19"/>
        <v>42279</v>
      </c>
      <c r="F286" s="3">
        <f t="shared" ca="1" si="20"/>
        <v>3</v>
      </c>
      <c r="G286" s="3" t="str">
        <f t="shared" ca="1" si="18"/>
        <v>Pets Allowed</v>
      </c>
      <c r="H286" s="3" t="str">
        <f ca="1">r_choice(Table6[ID])</f>
        <v>B</v>
      </c>
      <c r="J286" t="str">
        <f t="shared" ca="1" si="15"/>
        <v>insert into reservation values ('R255', 'C13', 'G22', 'E18', '09-Mar-2015', 3, 'None', 'B');</v>
      </c>
    </row>
    <row r="287" spans="1:10" x14ac:dyDescent="0.15">
      <c r="A287" t="s">
        <v>4654</v>
      </c>
      <c r="B287" s="3" t="str">
        <f ca="1">r_choice(Table3[ID])</f>
        <v>C54</v>
      </c>
      <c r="C287" s="3" t="str">
        <f ca="1">r_choice(Table10[ID])</f>
        <v>G08</v>
      </c>
      <c r="D287" t="str">
        <f ca="1">r_choice(EXCURSION!$A$2:$A$21)</f>
        <v>E03</v>
      </c>
      <c r="E287" s="2">
        <f t="shared" ca="1" si="19"/>
        <v>42247</v>
      </c>
      <c r="F287" s="3">
        <f t="shared" ca="1" si="20"/>
        <v>6</v>
      </c>
      <c r="G287" s="3" t="str">
        <f t="shared" ca="1" si="18"/>
        <v>Hendicaped</v>
      </c>
      <c r="H287" s="3" t="str">
        <f ca="1">r_choice(Table6[ID])</f>
        <v>G</v>
      </c>
      <c r="J287" t="str">
        <f t="shared" ca="1" si="15"/>
        <v>insert into reservation values ('R256', 'C48', 'G02', 'E04', '26-Jul-2015', 3, 'Non Smoking', 'S');</v>
      </c>
    </row>
    <row r="288" spans="1:10" x14ac:dyDescent="0.15">
      <c r="A288" t="s">
        <v>4655</v>
      </c>
      <c r="B288" s="3" t="str">
        <f ca="1">r_choice(Table3[ID])</f>
        <v>C49</v>
      </c>
      <c r="C288" s="3" t="str">
        <f ca="1">r_choice(Table10[ID])</f>
        <v>G06</v>
      </c>
      <c r="D288" t="str">
        <f ca="1">r_choice(EXCURSION!$A$2:$A$21)</f>
        <v>E20</v>
      </c>
      <c r="E288" s="2">
        <f t="shared" ca="1" si="19"/>
        <v>42025</v>
      </c>
      <c r="F288" s="3">
        <f t="shared" ca="1" si="20"/>
        <v>2</v>
      </c>
      <c r="G288" s="3" t="str">
        <f t="shared" ca="1" si="18"/>
        <v>Vegeterian</v>
      </c>
      <c r="H288" s="3" t="str">
        <f ca="1">r_choice(Table6[ID])</f>
        <v>S</v>
      </c>
      <c r="J288" t="str">
        <f t="shared" ref="J288:J331" ca="1" si="21">insertinto(A258:H258,$J$24:$K$31,"reservation")</f>
        <v>insert into reservation values ('R257', 'C73', 'G24', 'E12', '29-Nov-2015', 1, 'Hendicaped', 'S');</v>
      </c>
    </row>
    <row r="289" spans="1:10" x14ac:dyDescent="0.15">
      <c r="A289" t="s">
        <v>4656</v>
      </c>
      <c r="B289" s="3" t="str">
        <f ca="1">r_choice(Table3[ID])</f>
        <v>C99</v>
      </c>
      <c r="C289" s="3" t="str">
        <f ca="1">r_choice(Table10[ID])</f>
        <v>G16</v>
      </c>
      <c r="D289" t="str">
        <f ca="1">r_choice(EXCURSION!$A$2:$A$21)</f>
        <v>E05</v>
      </c>
      <c r="E289" s="2">
        <f t="shared" ca="1" si="19"/>
        <v>42179</v>
      </c>
      <c r="F289" s="3">
        <f t="shared" ca="1" si="20"/>
        <v>1</v>
      </c>
      <c r="G289" s="3" t="str">
        <f t="shared" ca="1" si="18"/>
        <v>Hendicaped</v>
      </c>
      <c r="H289" s="3" t="str">
        <f ca="1">r_choice(Table6[ID])</f>
        <v>G</v>
      </c>
      <c r="J289" t="str">
        <f t="shared" ca="1" si="21"/>
        <v>insert into reservation values ('R258', 'C99', 'G25', 'E18', '17-Jun-2015', 3, 'Non Smoking', 'P');</v>
      </c>
    </row>
    <row r="290" spans="1:10" x14ac:dyDescent="0.15">
      <c r="A290" t="s">
        <v>4657</v>
      </c>
      <c r="B290" s="3" t="str">
        <f ca="1">r_choice(Table3[ID])</f>
        <v>C37</v>
      </c>
      <c r="C290" s="3" t="str">
        <f ca="1">r_choice(Table10[ID])</f>
        <v>G11</v>
      </c>
      <c r="D290" t="str">
        <f ca="1">r_choice(EXCURSION!$A$2:$A$21)</f>
        <v>E02</v>
      </c>
      <c r="E290" s="2">
        <f t="shared" ca="1" si="19"/>
        <v>42045</v>
      </c>
      <c r="F290" s="3">
        <f t="shared" ca="1" si="20"/>
        <v>4</v>
      </c>
      <c r="G290" s="3" t="str">
        <f t="shared" ca="1" si="18"/>
        <v>None</v>
      </c>
      <c r="H290" s="3" t="str">
        <f ca="1">r_choice(Table6[ID])</f>
        <v>P</v>
      </c>
      <c r="J290" t="str">
        <f t="shared" ca="1" si="21"/>
        <v>insert into reservation values ('R259', 'C33', 'G05', 'E15', '02-Nov-2015', 2, 'Vegeterian', 'B');</v>
      </c>
    </row>
    <row r="291" spans="1:10" x14ac:dyDescent="0.15">
      <c r="A291" t="s">
        <v>4658</v>
      </c>
      <c r="B291" s="3" t="str">
        <f ca="1">r_choice(Table3[ID])</f>
        <v>C94</v>
      </c>
      <c r="C291" s="3" t="str">
        <f ca="1">r_choice(Table10[ID])</f>
        <v>G11</v>
      </c>
      <c r="D291" t="str">
        <f ca="1">r_choice(EXCURSION!$A$2:$A$21)</f>
        <v>E11</v>
      </c>
      <c r="E291" s="2">
        <f t="shared" ca="1" si="19"/>
        <v>42178</v>
      </c>
      <c r="F291" s="3">
        <f t="shared" ca="1" si="20"/>
        <v>6</v>
      </c>
      <c r="G291" s="3" t="str">
        <f t="shared" ca="1" si="18"/>
        <v>Pets Allowed</v>
      </c>
      <c r="H291" s="3" t="str">
        <f ca="1">r_choice(Table6[ID])</f>
        <v>G</v>
      </c>
      <c r="J291" t="str">
        <f t="shared" ca="1" si="21"/>
        <v>insert into reservation values ('R260', 'C34', 'G05', 'E19', '10-Jan-2016', 5, 'Non Smoking', 'S');</v>
      </c>
    </row>
    <row r="292" spans="1:10" x14ac:dyDescent="0.15">
      <c r="A292" t="s">
        <v>4659</v>
      </c>
      <c r="B292" s="3" t="str">
        <f ca="1">r_choice(Table3[ID])</f>
        <v>C04</v>
      </c>
      <c r="C292" s="3" t="str">
        <f ca="1">r_choice(Table10[ID])</f>
        <v>G19</v>
      </c>
      <c r="D292" t="str">
        <f ca="1">r_choice(EXCURSION!$A$2:$A$21)</f>
        <v>E10</v>
      </c>
      <c r="E292" s="2">
        <f t="shared" ca="1" si="19"/>
        <v>42179</v>
      </c>
      <c r="F292" s="3">
        <f t="shared" ca="1" si="20"/>
        <v>5</v>
      </c>
      <c r="G292" s="3" t="str">
        <f t="shared" ca="1" si="18"/>
        <v>None</v>
      </c>
      <c r="H292" s="3" t="str">
        <f ca="1">r_choice(Table6[ID])</f>
        <v>S</v>
      </c>
      <c r="J292" t="str">
        <f t="shared" ca="1" si="21"/>
        <v>insert into reservation values ('R261', 'C79', 'G09', 'E18', '13-Nov-2015', 6, 'Pets Allowed', 'P');</v>
      </c>
    </row>
    <row r="293" spans="1:10" x14ac:dyDescent="0.15">
      <c r="A293" t="s">
        <v>4660</v>
      </c>
      <c r="B293" s="3" t="str">
        <f ca="1">r_choice(Table3[ID])</f>
        <v>C77</v>
      </c>
      <c r="C293" s="3" t="str">
        <f ca="1">r_choice(Table10[ID])</f>
        <v>G06</v>
      </c>
      <c r="D293" t="str">
        <f ca="1">r_choice(EXCURSION!$A$2:$A$21)</f>
        <v>E02</v>
      </c>
      <c r="E293" s="2">
        <f t="shared" ca="1" si="19"/>
        <v>42274</v>
      </c>
      <c r="F293" s="3">
        <f t="shared" ca="1" si="20"/>
        <v>5</v>
      </c>
      <c r="G293" s="3" t="str">
        <f t="shared" ca="1" si="18"/>
        <v>Pets Allowed</v>
      </c>
      <c r="H293" s="3" t="str">
        <f ca="1">r_choice(Table6[ID])</f>
        <v>S</v>
      </c>
      <c r="J293" t="str">
        <f t="shared" ca="1" si="21"/>
        <v>insert into reservation values ('R262', 'C28', 'G10', 'E11', '29-Oct-2015', 4, 'None', 'P');</v>
      </c>
    </row>
    <row r="294" spans="1:10" x14ac:dyDescent="0.15">
      <c r="A294" t="s">
        <v>4661</v>
      </c>
      <c r="B294" s="3" t="str">
        <f ca="1">r_choice(Table3[ID])</f>
        <v>C99</v>
      </c>
      <c r="C294" s="3" t="str">
        <f ca="1">r_choice(Table10[ID])</f>
        <v>G13</v>
      </c>
      <c r="D294" t="str">
        <f ca="1">r_choice(EXCURSION!$A$2:$A$21)</f>
        <v>E13</v>
      </c>
      <c r="E294" s="2">
        <f t="shared" ca="1" si="19"/>
        <v>42070</v>
      </c>
      <c r="F294" s="3">
        <f t="shared" ca="1" si="20"/>
        <v>2</v>
      </c>
      <c r="G294" s="3" t="str">
        <f t="shared" ca="1" si="18"/>
        <v>Child Proof</v>
      </c>
      <c r="H294" s="3" t="str">
        <f ca="1">r_choice(Table6[ID])</f>
        <v>P</v>
      </c>
      <c r="J294" t="str">
        <f t="shared" ca="1" si="21"/>
        <v>insert into reservation values ('R263', 'C02', 'G13', 'E15', '14-Jan-2015', 6, 'Hendicaped', 'G');</v>
      </c>
    </row>
    <row r="295" spans="1:10" x14ac:dyDescent="0.15">
      <c r="A295" t="s">
        <v>4662</v>
      </c>
      <c r="B295" s="3" t="str">
        <f ca="1">r_choice(Table3[ID])</f>
        <v>C78</v>
      </c>
      <c r="C295" s="3" t="str">
        <f ca="1">r_choice(Table10[ID])</f>
        <v>G22</v>
      </c>
      <c r="D295" t="str">
        <f ca="1">r_choice(EXCURSION!$A$2:$A$21)</f>
        <v>E04</v>
      </c>
      <c r="E295" s="2">
        <f t="shared" ca="1" si="19"/>
        <v>42294</v>
      </c>
      <c r="F295" s="3">
        <f t="shared" ca="1" si="20"/>
        <v>1</v>
      </c>
      <c r="G295" s="3" t="str">
        <f t="shared" ca="1" si="18"/>
        <v>None</v>
      </c>
      <c r="H295" s="3" t="str">
        <f ca="1">r_choice(Table6[ID])</f>
        <v>P</v>
      </c>
      <c r="J295" t="str">
        <f t="shared" ca="1" si="21"/>
        <v>insert into reservation values ('R264', 'C76', 'G07', 'E10', '15-Jun-2015', 5, 'Quiet Floor', 'S');</v>
      </c>
    </row>
    <row r="296" spans="1:10" x14ac:dyDescent="0.15">
      <c r="A296" t="s">
        <v>4663</v>
      </c>
      <c r="B296" s="3" t="str">
        <f ca="1">r_choice(Table3[ID])</f>
        <v>C90</v>
      </c>
      <c r="C296" s="3" t="str">
        <f ca="1">r_choice(Table10[ID])</f>
        <v>G13</v>
      </c>
      <c r="D296" t="str">
        <f ca="1">r_choice(EXCURSION!$A$2:$A$21)</f>
        <v>E11</v>
      </c>
      <c r="E296" s="2">
        <f t="shared" ca="1" si="19"/>
        <v>42360</v>
      </c>
      <c r="F296" s="3">
        <f t="shared" ca="1" si="20"/>
        <v>6</v>
      </c>
      <c r="G296" s="3" t="str">
        <f t="shared" ca="1" si="18"/>
        <v>None</v>
      </c>
      <c r="H296" s="3" t="str">
        <f ca="1">r_choice(Table6[ID])</f>
        <v>S</v>
      </c>
      <c r="J296" t="str">
        <f t="shared" ca="1" si="21"/>
        <v>insert into reservation values ('R265', 'C25', 'G12', 'E11', '17-Feb-2015', 1, 'None', 'B');</v>
      </c>
    </row>
    <row r="297" spans="1:10" x14ac:dyDescent="0.15">
      <c r="A297" t="s">
        <v>4664</v>
      </c>
      <c r="B297" s="3" t="str">
        <f ca="1">r_choice(Table3[ID])</f>
        <v>C08</v>
      </c>
      <c r="C297" s="3" t="str">
        <f ca="1">r_choice(Table10[ID])</f>
        <v>G11</v>
      </c>
      <c r="D297" t="str">
        <f ca="1">r_choice(EXCURSION!$A$2:$A$21)</f>
        <v>E01</v>
      </c>
      <c r="E297" s="2">
        <f t="shared" ca="1" si="19"/>
        <v>42116</v>
      </c>
      <c r="F297" s="3">
        <f t="shared" ca="1" si="20"/>
        <v>6</v>
      </c>
      <c r="G297" s="3" t="str">
        <f t="shared" ca="1" si="18"/>
        <v>Non Smoking</v>
      </c>
      <c r="H297" s="3" t="str">
        <f ca="1">r_choice(Table6[ID])</f>
        <v>S</v>
      </c>
      <c r="J297" t="str">
        <f t="shared" ca="1" si="21"/>
        <v>insert into reservation values ('R266', 'C13', 'G16', 'E01', '01-Apr-2015', 3, 'Hendicaped', 'G');</v>
      </c>
    </row>
    <row r="298" spans="1:10" x14ac:dyDescent="0.15">
      <c r="A298" t="s">
        <v>4665</v>
      </c>
      <c r="B298" s="3" t="str">
        <f ca="1">r_choice(Table3[ID])</f>
        <v>C29</v>
      </c>
      <c r="C298" s="3" t="str">
        <f ca="1">r_choice(Table10[ID])</f>
        <v>G14</v>
      </c>
      <c r="D298" t="str">
        <f ca="1">r_choice(EXCURSION!$A$2:$A$21)</f>
        <v>E18</v>
      </c>
      <c r="E298" s="2">
        <f t="shared" ca="1" si="19"/>
        <v>42027</v>
      </c>
      <c r="F298" s="3">
        <f t="shared" ca="1" si="20"/>
        <v>3</v>
      </c>
      <c r="G298" s="3" t="str">
        <f t="shared" ca="1" si="18"/>
        <v>Hendicaped</v>
      </c>
      <c r="H298" s="3" t="str">
        <f ca="1">r_choice(Table6[ID])</f>
        <v>S</v>
      </c>
      <c r="J298" t="str">
        <f t="shared" ca="1" si="21"/>
        <v>insert into reservation values ('R267', 'C29', 'G11', 'E10', '28-Oct-2015', 2, 'Non Smoking', 'P');</v>
      </c>
    </row>
    <row r="299" spans="1:10" x14ac:dyDescent="0.15">
      <c r="A299" t="s">
        <v>4666</v>
      </c>
      <c r="B299" s="3" t="str">
        <f ca="1">r_choice(Table3[ID])</f>
        <v>C58</v>
      </c>
      <c r="C299" s="3" t="str">
        <f ca="1">r_choice(Table10[ID])</f>
        <v>G08</v>
      </c>
      <c r="D299" t="str">
        <f ca="1">r_choice(EXCURSION!$A$2:$A$21)</f>
        <v>E10</v>
      </c>
      <c r="E299" s="2">
        <f t="shared" ca="1" si="19"/>
        <v>42019</v>
      </c>
      <c r="F299" s="3">
        <f t="shared" ca="1" si="20"/>
        <v>3</v>
      </c>
      <c r="G299" s="3" t="str">
        <f t="shared" ca="1" si="18"/>
        <v>Vegeterian</v>
      </c>
      <c r="H299" s="3" t="str">
        <f ca="1">r_choice(Table6[ID])</f>
        <v>B</v>
      </c>
      <c r="J299" t="str">
        <f t="shared" ca="1" si="21"/>
        <v>insert into reservation values ('R268', 'C81', 'G16', 'E18', '15-Jun-2015', 6, 'Hendicaped', 'S');</v>
      </c>
    </row>
    <row r="300" spans="1:10" x14ac:dyDescent="0.15">
      <c r="A300" t="s">
        <v>4667</v>
      </c>
      <c r="B300" s="3" t="str">
        <f ca="1">r_choice(Table3[ID])</f>
        <v>C25</v>
      </c>
      <c r="C300" s="3" t="str">
        <f ca="1">r_choice(Table10[ID])</f>
        <v>G04</v>
      </c>
      <c r="D300" t="str">
        <f ca="1">r_choice(EXCURSION!$A$2:$A$21)</f>
        <v>E15</v>
      </c>
      <c r="E300" s="2">
        <f t="shared" ca="1" si="19"/>
        <v>42146</v>
      </c>
      <c r="F300" s="3">
        <f t="shared" ca="1" si="20"/>
        <v>1</v>
      </c>
      <c r="G300" s="3" t="str">
        <f t="shared" ca="1" si="18"/>
        <v>Hendicaped</v>
      </c>
      <c r="H300" s="3" t="str">
        <f ca="1">r_choice(Table6[ID])</f>
        <v>P</v>
      </c>
      <c r="J300" t="str">
        <f t="shared" ca="1" si="21"/>
        <v>insert into reservation values ('R269', 'C05', 'G08', 'E07', '11-Jul-2015', 3, 'Non Smoking', 'G');</v>
      </c>
    </row>
    <row r="301" spans="1:10" x14ac:dyDescent="0.15">
      <c r="A301" t="s">
        <v>4668</v>
      </c>
      <c r="B301" s="3" t="str">
        <f ca="1">r_choice(Table3[ID])</f>
        <v>C32</v>
      </c>
      <c r="C301" s="3" t="str">
        <f ca="1">r_choice(Table10[ID])</f>
        <v>G17</v>
      </c>
      <c r="D301" t="str">
        <f ca="1">r_choice(EXCURSION!$A$2:$A$21)</f>
        <v>E04</v>
      </c>
      <c r="E301" s="2">
        <f ca="1">r_date(2015,1,2016,1)</f>
        <v>42343</v>
      </c>
      <c r="F301" s="3">
        <f ca="1">r_integer(1,6)</f>
        <v>4</v>
      </c>
      <c r="G301" s="3" t="str">
        <f t="shared" ca="1" si="18"/>
        <v>Pets Allowed</v>
      </c>
      <c r="H301" s="3" t="str">
        <f ca="1">r_choice(Table6[ID])</f>
        <v>S</v>
      </c>
      <c r="J301" t="str">
        <f t="shared" ca="1" si="21"/>
        <v>insert into reservation values ('R270', 'C26', 'G19', 'E14', '20-Jul-2015', 3, 'Quiet Floor', 'P');</v>
      </c>
    </row>
    <row r="302" spans="1:10" x14ac:dyDescent="0.15">
      <c r="J302" t="str">
        <f t="shared" ca="1" si="21"/>
        <v>insert into reservation values ('R271', 'C88', 'G15', 'E12', '16-Sep-2015', 5, 'Vegeterian', 'G');</v>
      </c>
    </row>
    <row r="303" spans="1:10" x14ac:dyDescent="0.15">
      <c r="J303" t="str">
        <f t="shared" ca="1" si="21"/>
        <v>insert into reservation values ('R272', 'C66', 'G08', 'E08', '11-Jan-2016', 1, 'Pets Allowed', 'B');</v>
      </c>
    </row>
    <row r="304" spans="1:10" x14ac:dyDescent="0.15">
      <c r="J304" t="str">
        <f t="shared" ca="1" si="21"/>
        <v>insert into reservation values ('R273', 'C18', 'G08', 'E10', '17-Oct-2015', 5, 'Pets Allowed', 'B');</v>
      </c>
    </row>
    <row r="305" spans="10:10" x14ac:dyDescent="0.15">
      <c r="J305" t="str">
        <f t="shared" ca="1" si="21"/>
        <v>insert into reservation values ('R274', 'C88', 'G23', 'E06', '16-Jan-2015', 5, 'Hendicaped', 'P');</v>
      </c>
    </row>
    <row r="306" spans="10:10" x14ac:dyDescent="0.15">
      <c r="J306" t="str">
        <f t="shared" ca="1" si="21"/>
        <v>insert into reservation values ('R275', 'C06', 'G09', 'E10', '14-Nov-2015', 3, 'Hendicaped', 'B');</v>
      </c>
    </row>
    <row r="307" spans="10:10" x14ac:dyDescent="0.15">
      <c r="J307" t="str">
        <f t="shared" ca="1" si="21"/>
        <v>insert into reservation values ('R276', 'C04', 'G15', 'E19', '12-Jan-2015', 6, 'None', 'G');</v>
      </c>
    </row>
    <row r="308" spans="10:10" x14ac:dyDescent="0.15">
      <c r="J308" t="str">
        <f t="shared" ca="1" si="21"/>
        <v>insert into reservation values ('R277', 'C99', 'G21', 'E01', '12-May-2015', 4, 'Vegeterian', 'G');</v>
      </c>
    </row>
    <row r="309" spans="10:10" x14ac:dyDescent="0.15">
      <c r="J309" t="str">
        <f t="shared" ca="1" si="21"/>
        <v>insert into reservation values ('R278', 'C68', 'G18', 'E13', '01-Aug-2015', 1, 'Quiet Floor', 'G');</v>
      </c>
    </row>
    <row r="310" spans="10:10" x14ac:dyDescent="0.15">
      <c r="J310" t="str">
        <f t="shared" ca="1" si="21"/>
        <v>insert into reservation values ('R279', 'C10', 'G03', 'E12', '17-Mar-2015', 4, 'Pets Allowed', 'P');</v>
      </c>
    </row>
    <row r="311" spans="10:10" x14ac:dyDescent="0.15">
      <c r="J311" t="str">
        <f t="shared" ca="1" si="21"/>
        <v>insert into reservation values ('R280', 'C30', 'G14', 'E18', '15-Mar-2015', 6, 'Non Smoking', 'B');</v>
      </c>
    </row>
    <row r="312" spans="10:10" x14ac:dyDescent="0.15">
      <c r="J312" t="str">
        <f t="shared" ca="1" si="21"/>
        <v>insert into reservation values ('R281', 'C91', 'G14', 'E11', '23-Dec-2015', 2, 'Non Smoking', 'S');</v>
      </c>
    </row>
    <row r="313" spans="10:10" x14ac:dyDescent="0.15">
      <c r="J313" t="str">
        <f t="shared" ca="1" si="21"/>
        <v>insert into reservation values ('R282', 'C35', 'G20', 'E03', '10-Jul-2015', 1, 'None', 'S');</v>
      </c>
    </row>
    <row r="314" spans="10:10" x14ac:dyDescent="0.15">
      <c r="J314" t="str">
        <f t="shared" ca="1" si="21"/>
        <v>insert into reservation values ('R283', 'C85', 'G25', 'E20', '15-Mar-2015', 1, 'Pets Allowed', 'S');</v>
      </c>
    </row>
    <row r="315" spans="10:10" x14ac:dyDescent="0.15">
      <c r="J315" t="str">
        <f t="shared" ca="1" si="21"/>
        <v>insert into reservation values ('R284', 'C72', 'G14', 'E04', '18-Jan-2016', 3, 'Quiet Floor', 'S');</v>
      </c>
    </row>
    <row r="316" spans="10:10" x14ac:dyDescent="0.15">
      <c r="J316" t="str">
        <f t="shared" ca="1" si="21"/>
        <v>insert into reservation values ('R285', 'C79', 'G02', 'E06', '02-Oct-2015', 3, 'Pets Allowed', 'B');</v>
      </c>
    </row>
    <row r="317" spans="10:10" x14ac:dyDescent="0.15">
      <c r="J317" t="str">
        <f t="shared" ca="1" si="21"/>
        <v>insert into reservation values ('R286', 'C54', 'G08', 'E03', '31-Aug-2015', 6, 'Hendicaped', 'G');</v>
      </c>
    </row>
    <row r="318" spans="10:10" x14ac:dyDescent="0.15">
      <c r="J318" t="str">
        <f t="shared" ca="1" si="21"/>
        <v>insert into reservation values ('R287', 'C49', 'G06', 'E20', '21-Jan-2015', 2, 'Vegeterian', 'S');</v>
      </c>
    </row>
    <row r="319" spans="10:10" x14ac:dyDescent="0.15">
      <c r="J319" t="str">
        <f t="shared" ca="1" si="21"/>
        <v>insert into reservation values ('R288', 'C99', 'G16', 'E05', '24-Jun-2015', 1, 'Hendicaped', 'G');</v>
      </c>
    </row>
    <row r="320" spans="10:10" x14ac:dyDescent="0.15">
      <c r="J320" t="str">
        <f t="shared" ca="1" si="21"/>
        <v>insert into reservation values ('R289', 'C37', 'G11', 'E02', '10-Feb-2015', 4, 'None', 'P');</v>
      </c>
    </row>
    <row r="321" spans="10:10" x14ac:dyDescent="0.15">
      <c r="J321" t="str">
        <f t="shared" ca="1" si="21"/>
        <v>insert into reservation values ('R290', 'C94', 'G11', 'E11', '23-Jun-2015', 6, 'Pets Allowed', 'G');</v>
      </c>
    </row>
    <row r="322" spans="10:10" x14ac:dyDescent="0.15">
      <c r="J322" t="str">
        <f t="shared" ca="1" si="21"/>
        <v>insert into reservation values ('R291', 'C04', 'G19', 'E10', '24-Jun-2015', 5, 'None', 'S');</v>
      </c>
    </row>
    <row r="323" spans="10:10" x14ac:dyDescent="0.15">
      <c r="J323" t="str">
        <f t="shared" ca="1" si="21"/>
        <v>insert into reservation values ('R292', 'C77', 'G06', 'E02', '27-Sep-2015', 5, 'Pets Allowed', 'S');</v>
      </c>
    </row>
    <row r="324" spans="10:10" x14ac:dyDescent="0.15">
      <c r="J324" t="str">
        <f t="shared" ca="1" si="21"/>
        <v>insert into reservation values ('R293', 'C99', 'G13', 'E13', '07-Mar-2015', 2, 'Child Proof', 'P');</v>
      </c>
    </row>
    <row r="325" spans="10:10" x14ac:dyDescent="0.15">
      <c r="J325" t="str">
        <f t="shared" ca="1" si="21"/>
        <v>insert into reservation values ('R294', 'C78', 'G22', 'E04', '17-Oct-2015', 1, 'None', 'P');</v>
      </c>
    </row>
    <row r="326" spans="10:10" x14ac:dyDescent="0.15">
      <c r="J326" t="str">
        <f t="shared" ca="1" si="21"/>
        <v>insert into reservation values ('R295', 'C90', 'G13', 'E11', '22-Dec-2015', 6, 'None', 'S');</v>
      </c>
    </row>
    <row r="327" spans="10:10" x14ac:dyDescent="0.15">
      <c r="J327" t="str">
        <f t="shared" ca="1" si="21"/>
        <v>insert into reservation values ('R296', 'C08', 'G11', 'E01', '22-Apr-2015', 6, 'Non Smoking', 'S');</v>
      </c>
    </row>
    <row r="328" spans="10:10" x14ac:dyDescent="0.15">
      <c r="J328" t="str">
        <f t="shared" ca="1" si="21"/>
        <v>insert into reservation values ('R297', 'C29', 'G14', 'E18', '23-Jan-2015', 3, 'Hendicaped', 'S');</v>
      </c>
    </row>
    <row r="329" spans="10:10" x14ac:dyDescent="0.15">
      <c r="J329" t="str">
        <f t="shared" ca="1" si="21"/>
        <v>insert into reservation values ('R298', 'C58', 'G08', 'E10', '15-Jan-2015', 3, 'Vegeterian', 'B');</v>
      </c>
    </row>
    <row r="330" spans="10:10" x14ac:dyDescent="0.15">
      <c r="J330" t="str">
        <f t="shared" ca="1" si="21"/>
        <v>insert into reservation values ('R299', 'C25', 'G04', 'E15', '22-May-2015', 1, 'Hendicaped', 'P');</v>
      </c>
    </row>
    <row r="331" spans="10:10" x14ac:dyDescent="0.15">
      <c r="J331" t="str">
        <f t="shared" ca="1" si="21"/>
        <v>insert into reservation values ('R300', 'C32', 'G17', 'E04', '05-Dec-2015', 4, 'Pets Allowed', 'S');</v>
      </c>
    </row>
  </sheetData>
  <phoneticPr fontId="19" type="noConversion"/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2"/>
  <sheetViews>
    <sheetView topLeftCell="D1" zoomScale="130" zoomScaleNormal="130" zoomScalePageLayoutView="130" workbookViewId="0">
      <selection activeCell="F14" sqref="F14:F18"/>
    </sheetView>
  </sheetViews>
  <sheetFormatPr baseColWidth="10" defaultRowHeight="13" x14ac:dyDescent="0.15"/>
  <cols>
    <col min="2" max="2" width="15" customWidth="1"/>
    <col min="4" max="4" width="13.5" customWidth="1"/>
    <col min="5" max="5" width="19.6640625" bestFit="1" customWidth="1"/>
  </cols>
  <sheetData>
    <row r="1" spans="1:7" x14ac:dyDescent="0.15">
      <c r="A1" t="s">
        <v>4104</v>
      </c>
      <c r="B1" t="s">
        <v>4124</v>
      </c>
      <c r="C1" t="s">
        <v>4121</v>
      </c>
      <c r="D1" t="s">
        <v>4128</v>
      </c>
      <c r="E1" t="s">
        <v>4133</v>
      </c>
    </row>
    <row r="2" spans="1:7" x14ac:dyDescent="0.15">
      <c r="A2" t="s">
        <v>4165</v>
      </c>
      <c r="B2" t="s">
        <v>4129</v>
      </c>
      <c r="C2">
        <v>150</v>
      </c>
      <c r="D2" t="s">
        <v>4132</v>
      </c>
      <c r="E2">
        <v>0</v>
      </c>
    </row>
    <row r="3" spans="1:7" x14ac:dyDescent="0.15">
      <c r="A3" t="s">
        <v>4166</v>
      </c>
      <c r="B3" t="s">
        <v>2364</v>
      </c>
      <c r="C3">
        <v>200</v>
      </c>
      <c r="D3" t="s">
        <v>4132</v>
      </c>
      <c r="E3">
        <v>0</v>
      </c>
    </row>
    <row r="4" spans="1:7" x14ac:dyDescent="0.15">
      <c r="A4" t="s">
        <v>4167</v>
      </c>
      <c r="B4" t="s">
        <v>291</v>
      </c>
      <c r="C4">
        <v>300</v>
      </c>
      <c r="D4" t="s">
        <v>4131</v>
      </c>
      <c r="E4">
        <v>100</v>
      </c>
    </row>
    <row r="5" spans="1:7" x14ac:dyDescent="0.15">
      <c r="A5" t="s">
        <v>4168</v>
      </c>
      <c r="B5" t="s">
        <v>4130</v>
      </c>
      <c r="C5">
        <v>400</v>
      </c>
      <c r="D5" t="s">
        <v>4131</v>
      </c>
      <c r="E5">
        <v>150</v>
      </c>
    </row>
    <row r="13" spans="1:7" x14ac:dyDescent="0.15">
      <c r="F13" t="s">
        <v>4723</v>
      </c>
      <c r="G13" t="s">
        <v>4724</v>
      </c>
    </row>
    <row r="14" spans="1:7" x14ac:dyDescent="0.15">
      <c r="F14" t="s">
        <v>4714</v>
      </c>
      <c r="G14" t="s">
        <v>4690</v>
      </c>
    </row>
    <row r="15" spans="1:7" x14ac:dyDescent="0.15">
      <c r="F15" t="s">
        <v>4715</v>
      </c>
      <c r="G15" t="s">
        <v>4690</v>
      </c>
    </row>
    <row r="16" spans="1:7" x14ac:dyDescent="0.15">
      <c r="F16" t="s">
        <v>4716</v>
      </c>
      <c r="G16" t="s">
        <v>4691</v>
      </c>
    </row>
    <row r="17" spans="6:7" x14ac:dyDescent="0.15">
      <c r="F17" t="s">
        <v>4717</v>
      </c>
      <c r="G17" t="s">
        <v>4690</v>
      </c>
    </row>
    <row r="18" spans="6:7" x14ac:dyDescent="0.15">
      <c r="F18" t="s">
        <v>4718</v>
      </c>
      <c r="G18" t="s">
        <v>4691</v>
      </c>
    </row>
    <row r="19" spans="6:7" x14ac:dyDescent="0.15">
      <c r="F19" t="str">
        <f>insertinto(A2:E2,$F$14:$G$18,"packet")</f>
        <v>insert into packet values ('B', 'Basic', 150, 'N', 0);</v>
      </c>
    </row>
    <row r="20" spans="6:7" x14ac:dyDescent="0.15">
      <c r="F20" t="str">
        <f>insertinto(A3:E3,$F$14:$G$18,"packet")</f>
        <v>insert into packet values ('S', 'Silver', 200, 'N', 0);</v>
      </c>
    </row>
    <row r="21" spans="6:7" x14ac:dyDescent="0.15">
      <c r="F21" t="str">
        <f>insertinto(A4:E4,$F$14:$G$18,"packet")</f>
        <v>insert into packet values ('G', 'Gold', 300, 'Y', 100);</v>
      </c>
    </row>
    <row r="22" spans="6:7" x14ac:dyDescent="0.15">
      <c r="F22" t="str">
        <f>insertinto(A5:E5,$F$14:$G$18,"packet")</f>
        <v>insert into packet values ('P', 'Platinum', 400, 'Y', 150);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9"/>
  <sheetViews>
    <sheetView topLeftCell="A8" zoomScale="130" zoomScaleNormal="130" zoomScalePageLayoutView="130" workbookViewId="0">
      <selection activeCell="F30" sqref="F30:F34"/>
    </sheetView>
  </sheetViews>
  <sheetFormatPr baseColWidth="10" defaultRowHeight="13" x14ac:dyDescent="0.15"/>
  <cols>
    <col min="2" max="2" width="19.1640625" bestFit="1" customWidth="1"/>
    <col min="5" max="5" width="12.1640625" style="2" customWidth="1"/>
  </cols>
  <sheetData>
    <row r="1" spans="1:7" x14ac:dyDescent="0.15">
      <c r="A1" t="s">
        <v>4104</v>
      </c>
      <c r="B1" t="s">
        <v>4109</v>
      </c>
      <c r="C1" t="s">
        <v>4116</v>
      </c>
      <c r="D1" t="s">
        <v>4117</v>
      </c>
      <c r="E1" s="2" t="s">
        <v>4118</v>
      </c>
    </row>
    <row r="2" spans="1:7" x14ac:dyDescent="0.15">
      <c r="A2" t="s">
        <v>4237</v>
      </c>
      <c r="B2" s="1" t="str">
        <f ca="1">IF(C2="F","Mr.","Ms.")&amp;" "&amp;IF(C2="F",r_fname_f(),r_fname_m())&amp;" "&amp;r_lname()</f>
        <v>Mr. Alesia Wilcock</v>
      </c>
      <c r="C2" t="str">
        <f t="shared" ref="C2:C26" ca="1" si="0">r_choice($G$9:$G$10)</f>
        <v>F</v>
      </c>
      <c r="D2">
        <f t="shared" ref="D2:D21" ca="1" si="1">r_integer(750,1500)</f>
        <v>898</v>
      </c>
      <c r="E2" s="2">
        <f t="shared" ref="E2:E21" ca="1" si="2">r_date(2006,1,2016,1)</f>
        <v>39261</v>
      </c>
    </row>
    <row r="3" spans="1:7" x14ac:dyDescent="0.15">
      <c r="A3" t="s">
        <v>4238</v>
      </c>
      <c r="B3" s="3" t="str">
        <f ca="1">IF(C3="F","Mr.","Ms.")&amp;" "&amp;IF(C3="F",r_fname_f(),r_fname_m())&amp;" "&amp;r_lname()</f>
        <v>Ms. Hans Hunter</v>
      </c>
      <c r="C3" t="str">
        <f t="shared" ca="1" si="0"/>
        <v>M</v>
      </c>
      <c r="D3">
        <f t="shared" ca="1" si="1"/>
        <v>1434</v>
      </c>
      <c r="E3" s="2">
        <f t="shared" ca="1" si="2"/>
        <v>40288</v>
      </c>
    </row>
    <row r="4" spans="1:7" x14ac:dyDescent="0.15">
      <c r="A4" t="s">
        <v>4239</v>
      </c>
      <c r="B4" s="3" t="str">
        <f ca="1">IF(C4="F","Mr.","Ms.")&amp;" "&amp;IF(C4="F",r_fname_f(),r_fname_m())&amp;" "&amp;r_lname()</f>
        <v>Ms. Glen Kendall</v>
      </c>
      <c r="C4" t="str">
        <f t="shared" ca="1" si="0"/>
        <v>M</v>
      </c>
      <c r="D4">
        <f t="shared" ca="1" si="1"/>
        <v>1492</v>
      </c>
      <c r="E4" s="2">
        <f t="shared" ca="1" si="2"/>
        <v>39293</v>
      </c>
    </row>
    <row r="5" spans="1:7" x14ac:dyDescent="0.15">
      <c r="A5" t="s">
        <v>4240</v>
      </c>
      <c r="B5" s="3" t="str">
        <f ca="1">IF(C5="F","Mr.","Ms.")&amp;" "&amp;IF(C5="F",r_fname_f(),r_fname_m())&amp;" "&amp;r_lname()</f>
        <v>Ms. Shelby Cortes</v>
      </c>
      <c r="C5" t="str">
        <f t="shared" ca="1" si="0"/>
        <v>M</v>
      </c>
      <c r="D5">
        <f t="shared" ca="1" si="1"/>
        <v>1315</v>
      </c>
      <c r="E5" s="2">
        <f t="shared" ca="1" si="2"/>
        <v>41999</v>
      </c>
    </row>
    <row r="6" spans="1:7" x14ac:dyDescent="0.15">
      <c r="A6" t="s">
        <v>4241</v>
      </c>
      <c r="B6" s="3" t="str">
        <f ca="1">IF(C6="F","Mr.","Ms.")&amp;" "&amp;IF(C6="F",r_fname_f(),r_fname_m())&amp;" "&amp;r_lname()</f>
        <v>Mr. Ella Herrera</v>
      </c>
      <c r="C6" t="str">
        <f t="shared" ca="1" si="0"/>
        <v>F</v>
      </c>
      <c r="D6">
        <f t="shared" ca="1" si="1"/>
        <v>1145</v>
      </c>
      <c r="E6" s="2">
        <f t="shared" ca="1" si="2"/>
        <v>41261</v>
      </c>
    </row>
    <row r="7" spans="1:7" x14ac:dyDescent="0.15">
      <c r="A7" t="s">
        <v>4242</v>
      </c>
      <c r="B7" s="3" t="str">
        <f ca="1">IF(C7="F","Mr.","Ms.")&amp;" "&amp;IF(C7="F",r_fname_f(),r_fname_m())&amp;" "&amp;r_lname()</f>
        <v>Ms. Emil Duarte</v>
      </c>
      <c r="C7" t="str">
        <f t="shared" ca="1" si="0"/>
        <v>M</v>
      </c>
      <c r="D7">
        <f t="shared" ca="1" si="1"/>
        <v>1425</v>
      </c>
      <c r="E7" s="2">
        <f t="shared" ca="1" si="2"/>
        <v>39423</v>
      </c>
    </row>
    <row r="8" spans="1:7" x14ac:dyDescent="0.15">
      <c r="A8" t="s">
        <v>4243</v>
      </c>
      <c r="B8" s="3" t="str">
        <f ca="1">IF(C8="F","Mr.","Ms.")&amp;" "&amp;IF(C8="F",r_fname_f(),r_fname_m())&amp;" "&amp;r_lname()</f>
        <v>Ms. Leif Terrell</v>
      </c>
      <c r="C8" t="str">
        <f t="shared" ca="1" si="0"/>
        <v>M</v>
      </c>
      <c r="D8">
        <f t="shared" ca="1" si="1"/>
        <v>918</v>
      </c>
      <c r="E8" s="2">
        <f t="shared" ca="1" si="2"/>
        <v>39122</v>
      </c>
      <c r="G8" t="s">
        <v>4722</v>
      </c>
    </row>
    <row r="9" spans="1:7" x14ac:dyDescent="0.15">
      <c r="A9" t="s">
        <v>4244</v>
      </c>
      <c r="B9" s="3" t="str">
        <f ca="1">IF(C9="F","Mr.","Ms.")&amp;" "&amp;IF(C9="F",r_fname_f(),r_fname_m())&amp;" "&amp;r_lname()</f>
        <v>Mr. Miesha Shultz</v>
      </c>
      <c r="C9" t="str">
        <f t="shared" ca="1" si="0"/>
        <v>F</v>
      </c>
      <c r="D9">
        <f t="shared" ca="1" si="1"/>
        <v>840</v>
      </c>
      <c r="E9" s="2">
        <f t="shared" ca="1" si="2"/>
        <v>41435</v>
      </c>
      <c r="G9" t="s">
        <v>4176</v>
      </c>
    </row>
    <row r="10" spans="1:7" x14ac:dyDescent="0.15">
      <c r="A10" t="s">
        <v>4245</v>
      </c>
      <c r="B10" s="3" t="str">
        <f ca="1">IF(C10="F","Mr.","Ms.")&amp;" "&amp;IF(C10="F",r_fname_f(),r_fname_m())&amp;" "&amp;r_lname()</f>
        <v>Mr. Cherise Zavala</v>
      </c>
      <c r="C10" t="str">
        <f t="shared" ca="1" si="0"/>
        <v>F</v>
      </c>
      <c r="D10">
        <f t="shared" ca="1" si="1"/>
        <v>1481</v>
      </c>
      <c r="E10" s="2">
        <f t="shared" ca="1" si="2"/>
        <v>40369</v>
      </c>
      <c r="G10" t="s">
        <v>4177</v>
      </c>
    </row>
    <row r="11" spans="1:7" x14ac:dyDescent="0.15">
      <c r="A11" t="s">
        <v>4246</v>
      </c>
      <c r="B11" s="3" t="str">
        <f ca="1">IF(C11="F","Mr.","Ms.")&amp;" "&amp;IF(C11="F",r_fname_f(),r_fname_m())&amp;" "&amp;r_lname()</f>
        <v>Mr. Faye Darnell</v>
      </c>
      <c r="C11" t="str">
        <f t="shared" ca="1" si="0"/>
        <v>F</v>
      </c>
      <c r="D11">
        <f t="shared" ca="1" si="1"/>
        <v>1077</v>
      </c>
      <c r="E11" s="2">
        <f t="shared" ca="1" si="2"/>
        <v>39419</v>
      </c>
    </row>
    <row r="12" spans="1:7" x14ac:dyDescent="0.15">
      <c r="A12" t="s">
        <v>4247</v>
      </c>
      <c r="B12" s="3" t="str">
        <f ca="1">IF(C12="F","Mr.","Ms.")&amp;" "&amp;IF(C12="F",r_fname_f(),r_fname_m())&amp;" "&amp;r_lname()</f>
        <v>Mr. Kirsten Guy</v>
      </c>
      <c r="C12" t="str">
        <f t="shared" ca="1" si="0"/>
        <v>F</v>
      </c>
      <c r="D12">
        <f t="shared" ca="1" si="1"/>
        <v>1442</v>
      </c>
      <c r="E12" s="2">
        <f t="shared" ca="1" si="2"/>
        <v>42371</v>
      </c>
    </row>
    <row r="13" spans="1:7" x14ac:dyDescent="0.15">
      <c r="A13" t="s">
        <v>4248</v>
      </c>
      <c r="B13" s="3" t="str">
        <f ca="1">IF(C13="F","Mr.","Ms.")&amp;" "&amp;IF(C13="F",r_fname_f(),r_fname_m())&amp;" "&amp;r_lname()</f>
        <v>Mr. Cassi Manakis</v>
      </c>
      <c r="C13" t="str">
        <f t="shared" ca="1" si="0"/>
        <v>F</v>
      </c>
      <c r="D13">
        <f t="shared" ca="1" si="1"/>
        <v>836</v>
      </c>
      <c r="E13" s="2">
        <f t="shared" ca="1" si="2"/>
        <v>40409</v>
      </c>
    </row>
    <row r="14" spans="1:7" x14ac:dyDescent="0.15">
      <c r="A14" t="s">
        <v>4249</v>
      </c>
      <c r="B14" s="3" t="str">
        <f ca="1">IF(C14="F","Mr.","Ms.")&amp;" "&amp;IF(C14="F",r_fname_f(),r_fname_m())&amp;" "&amp;r_lname()</f>
        <v>Ms. Noah Greer</v>
      </c>
      <c r="C14" t="str">
        <f t="shared" ca="1" si="0"/>
        <v>M</v>
      </c>
      <c r="D14">
        <f t="shared" ca="1" si="1"/>
        <v>1097</v>
      </c>
      <c r="E14" s="2">
        <f t="shared" ca="1" si="2"/>
        <v>39734</v>
      </c>
    </row>
    <row r="15" spans="1:7" x14ac:dyDescent="0.15">
      <c r="A15" t="s">
        <v>4250</v>
      </c>
      <c r="B15" s="3" t="str">
        <f ca="1">IF(C15="F","Mr.","Ms.")&amp;" "&amp;IF(C15="F",r_fname_f(),r_fname_m())&amp;" "&amp;r_lname()</f>
        <v>Mr. Merry Jung</v>
      </c>
      <c r="C15" t="str">
        <f t="shared" ca="1" si="0"/>
        <v>F</v>
      </c>
      <c r="D15">
        <f t="shared" ca="1" si="1"/>
        <v>1258</v>
      </c>
      <c r="E15" s="2">
        <f t="shared" ca="1" si="2"/>
        <v>41311</v>
      </c>
    </row>
    <row r="16" spans="1:7" x14ac:dyDescent="0.15">
      <c r="A16" t="s">
        <v>4251</v>
      </c>
      <c r="B16" s="3" t="str">
        <f ca="1">IF(C16="F","Mr.","Ms.")&amp;" "&amp;IF(C16="F",r_fname_f(),r_fname_m())&amp;" "&amp;r_lname()</f>
        <v>Ms. Santo Rubin</v>
      </c>
      <c r="C16" t="str">
        <f t="shared" ca="1" si="0"/>
        <v>M</v>
      </c>
      <c r="D16">
        <f t="shared" ca="1" si="1"/>
        <v>929</v>
      </c>
      <c r="E16" s="2">
        <f t="shared" ca="1" si="2"/>
        <v>39030</v>
      </c>
    </row>
    <row r="17" spans="1:7" x14ac:dyDescent="0.15">
      <c r="A17" t="s">
        <v>4252</v>
      </c>
      <c r="B17" s="3" t="str">
        <f ca="1">IF(C17="F","Mr.","Ms.")&amp;" "&amp;IF(C17="F",r_fname_f(),r_fname_m())&amp;" "&amp;r_lname()</f>
        <v>Mr. Judith Gleason</v>
      </c>
      <c r="C17" t="str">
        <f t="shared" ca="1" si="0"/>
        <v>F</v>
      </c>
      <c r="D17">
        <f t="shared" ca="1" si="1"/>
        <v>1420</v>
      </c>
      <c r="E17" s="2">
        <f t="shared" ca="1" si="2"/>
        <v>39955</v>
      </c>
    </row>
    <row r="18" spans="1:7" x14ac:dyDescent="0.15">
      <c r="A18" t="s">
        <v>4253</v>
      </c>
      <c r="B18" s="3" t="str">
        <f ca="1">IF(C18="F","Mr.","Ms.")&amp;" "&amp;IF(C18="F",r_fname_f(),r_fname_m())&amp;" "&amp;r_lname()</f>
        <v>Mr. Dorene Nix</v>
      </c>
      <c r="C18" t="str">
        <f t="shared" ca="1" si="0"/>
        <v>F</v>
      </c>
      <c r="D18">
        <f t="shared" ca="1" si="1"/>
        <v>861</v>
      </c>
      <c r="E18" s="2">
        <f t="shared" ca="1" si="2"/>
        <v>40390</v>
      </c>
    </row>
    <row r="19" spans="1:7" x14ac:dyDescent="0.15">
      <c r="A19" t="s">
        <v>4254</v>
      </c>
      <c r="B19" s="3" t="str">
        <f ca="1">IF(C19="F","Mr.","Ms.")&amp;" "&amp;IF(C19="F",r_fname_f(),r_fname_m())&amp;" "&amp;r_lname()</f>
        <v>Ms. Brent Krueger</v>
      </c>
      <c r="C19" t="str">
        <f t="shared" ca="1" si="0"/>
        <v>M</v>
      </c>
      <c r="D19">
        <f t="shared" ca="1" si="1"/>
        <v>1336</v>
      </c>
      <c r="E19" s="2">
        <f t="shared" ca="1" si="2"/>
        <v>38770</v>
      </c>
    </row>
    <row r="20" spans="1:7" x14ac:dyDescent="0.15">
      <c r="A20" t="s">
        <v>4255</v>
      </c>
      <c r="B20" s="3" t="str">
        <f ca="1">IF(C20="F","Mr.","Ms.")&amp;" "&amp;IF(C20="F",r_fname_f(),r_fname_m())&amp;" "&amp;r_lname()</f>
        <v>Ms. Leroy Jacob</v>
      </c>
      <c r="C20" t="str">
        <f t="shared" ca="1" si="0"/>
        <v>M</v>
      </c>
      <c r="D20">
        <f t="shared" ca="1" si="1"/>
        <v>999</v>
      </c>
      <c r="E20" s="2">
        <f t="shared" ca="1" si="2"/>
        <v>41181</v>
      </c>
    </row>
    <row r="21" spans="1:7" x14ac:dyDescent="0.15">
      <c r="A21" t="s">
        <v>4256</v>
      </c>
      <c r="B21" s="3" t="str">
        <f ca="1">IF(C21="F","Mr.","Ms.")&amp;" "&amp;IF(C21="F",r_fname_f(),r_fname_m())&amp;" "&amp;r_lname()</f>
        <v>Ms. Gene Crum</v>
      </c>
      <c r="C21" t="str">
        <f t="shared" ca="1" si="0"/>
        <v>M</v>
      </c>
      <c r="D21">
        <f t="shared" ca="1" si="1"/>
        <v>1208</v>
      </c>
      <c r="E21" s="2">
        <f t="shared" ca="1" si="2"/>
        <v>41109</v>
      </c>
    </row>
    <row r="22" spans="1:7" x14ac:dyDescent="0.15">
      <c r="A22" t="s">
        <v>4549</v>
      </c>
      <c r="B22" s="3" t="str">
        <f ca="1">IF(C22="F","Mr.","Ms.")&amp;" "&amp;IF(C22="F",r_fname_f(),r_fname_m())&amp;" "&amp;r_lname()</f>
        <v>Ms. Nicholas Solomon</v>
      </c>
      <c r="C22" s="3" t="str">
        <f t="shared" ca="1" si="0"/>
        <v>M</v>
      </c>
      <c r="D22" s="3">
        <f t="shared" ref="D22:D26" ca="1" si="3">r_integer(750,1500)</f>
        <v>891</v>
      </c>
      <c r="E22" s="2">
        <f t="shared" ref="E22:E26" ca="1" si="4">r_date(2006,1,2016,1)</f>
        <v>39692</v>
      </c>
    </row>
    <row r="23" spans="1:7" x14ac:dyDescent="0.15">
      <c r="A23" t="s">
        <v>4550</v>
      </c>
      <c r="B23" s="3" t="str">
        <f ca="1">IF(C23="F","Mr.","Ms.")&amp;" "&amp;IF(C23="F",r_fname_f(),r_fname_m())&amp;" "&amp;r_lname()</f>
        <v>Mr. Harriet Kirkland</v>
      </c>
      <c r="C23" s="3" t="str">
        <f t="shared" ca="1" si="0"/>
        <v>F</v>
      </c>
      <c r="D23" s="3">
        <f t="shared" ca="1" si="3"/>
        <v>1427</v>
      </c>
      <c r="E23" s="2">
        <f t="shared" ca="1" si="4"/>
        <v>40197</v>
      </c>
    </row>
    <row r="24" spans="1:7" x14ac:dyDescent="0.15">
      <c r="A24" t="s">
        <v>4551</v>
      </c>
      <c r="B24" s="3" t="str">
        <f ca="1">IF(C24="F","Mr.","Ms.")&amp;" "&amp;IF(C24="F",r_fname_f(),r_fname_m())&amp;" "&amp;r_lname()</f>
        <v>Ms. Rickie Corbin</v>
      </c>
      <c r="C24" s="3" t="str">
        <f t="shared" ca="1" si="0"/>
        <v>M</v>
      </c>
      <c r="D24" s="3">
        <f t="shared" ca="1" si="3"/>
        <v>1018</v>
      </c>
      <c r="E24" s="2">
        <f t="shared" ca="1" si="4"/>
        <v>38813</v>
      </c>
    </row>
    <row r="25" spans="1:7" x14ac:dyDescent="0.15">
      <c r="A25" t="s">
        <v>4552</v>
      </c>
      <c r="B25" s="3" t="str">
        <f ca="1">IF(C25="F","Mr.","Ms.")&amp;" "&amp;IF(C25="F",r_fname_f(),r_fname_m())&amp;" "&amp;r_lname()</f>
        <v>Mr. Penelope Dillard</v>
      </c>
      <c r="C25" s="3" t="str">
        <f t="shared" ca="1" si="0"/>
        <v>F</v>
      </c>
      <c r="D25" s="3">
        <f t="shared" ca="1" si="3"/>
        <v>1068</v>
      </c>
      <c r="E25" s="2">
        <f t="shared" ca="1" si="4"/>
        <v>41225</v>
      </c>
    </row>
    <row r="26" spans="1:7" x14ac:dyDescent="0.15">
      <c r="A26" t="s">
        <v>4553</v>
      </c>
      <c r="B26" s="3" t="str">
        <f ca="1">IF(C26="F","Mr.","Ms.")&amp;" "&amp;IF(C26="F",r_fname_f(),r_fname_m())&amp;" "&amp;r_lname()</f>
        <v>Ms. Cordell Mahoney</v>
      </c>
      <c r="C26" s="3" t="str">
        <f t="shared" ca="1" si="0"/>
        <v>M</v>
      </c>
      <c r="D26" s="3">
        <f t="shared" ca="1" si="3"/>
        <v>1303</v>
      </c>
      <c r="E26" s="2">
        <f t="shared" ca="1" si="4"/>
        <v>42357</v>
      </c>
    </row>
    <row r="29" spans="1:7" x14ac:dyDescent="0.15">
      <c r="F29" t="s">
        <v>4723</v>
      </c>
      <c r="G29" t="s">
        <v>4724</v>
      </c>
    </row>
    <row r="30" spans="1:7" x14ac:dyDescent="0.15">
      <c r="F30" t="s">
        <v>4702</v>
      </c>
      <c r="G30" t="s">
        <v>4690</v>
      </c>
    </row>
    <row r="31" spans="1:7" x14ac:dyDescent="0.15">
      <c r="F31" t="s">
        <v>4703</v>
      </c>
      <c r="G31" t="s">
        <v>4690</v>
      </c>
    </row>
    <row r="32" spans="1:7" x14ac:dyDescent="0.15">
      <c r="F32" t="s">
        <v>4704</v>
      </c>
      <c r="G32" t="s">
        <v>4690</v>
      </c>
    </row>
    <row r="33" spans="6:7" x14ac:dyDescent="0.15">
      <c r="F33" t="s">
        <v>4705</v>
      </c>
      <c r="G33" t="s">
        <v>4691</v>
      </c>
    </row>
    <row r="34" spans="6:7" x14ac:dyDescent="0.15">
      <c r="F34" t="s">
        <v>4706</v>
      </c>
      <c r="G34" t="s">
        <v>4707</v>
      </c>
    </row>
    <row r="35" spans="6:7" x14ac:dyDescent="0.15">
      <c r="F35" t="str">
        <f t="shared" ref="F35:F59" ca="1" si="5">insertinto(A2:E2,$F$30:$G$34,"guide")</f>
        <v>insert into guide values ('G01', 'Mr. Alesia Wilcock', 'F', 898, '28-Jun-2007');</v>
      </c>
    </row>
    <row r="36" spans="6:7" x14ac:dyDescent="0.15">
      <c r="F36" t="str">
        <f t="shared" ca="1" si="5"/>
        <v>insert into guide values ('G02', 'Ms. Hans Hunter', 'M', 1434, '20-Apr-2010');</v>
      </c>
    </row>
    <row r="37" spans="6:7" x14ac:dyDescent="0.15">
      <c r="F37" t="str">
        <f t="shared" ca="1" si="5"/>
        <v>insert into guide values ('G03', 'Ms. Glen Kendall', 'M', 1492, '30-Jul-2007');</v>
      </c>
    </row>
    <row r="38" spans="6:7" x14ac:dyDescent="0.15">
      <c r="F38" t="str">
        <f t="shared" ca="1" si="5"/>
        <v>insert into guide values ('G04', 'Ms. Shelby Cortes', 'M', 1315, '26-Dec-2014');</v>
      </c>
    </row>
    <row r="39" spans="6:7" x14ac:dyDescent="0.15">
      <c r="F39" t="str">
        <f t="shared" ca="1" si="5"/>
        <v>insert into guide values ('G05', 'Mr. Ella Herrera', 'F', 1145, '18-Dec-2012');</v>
      </c>
    </row>
    <row r="40" spans="6:7" x14ac:dyDescent="0.15">
      <c r="F40" t="str">
        <f t="shared" ca="1" si="5"/>
        <v>insert into guide values ('G06', 'Ms. Emil Duarte', 'M', 1425, '07-Dec-2007');</v>
      </c>
    </row>
    <row r="41" spans="6:7" x14ac:dyDescent="0.15">
      <c r="F41" t="str">
        <f t="shared" ca="1" si="5"/>
        <v>insert into guide values ('G07', 'Ms. Leif Terrell', 'M', 918, '09-Feb-2007');</v>
      </c>
    </row>
    <row r="42" spans="6:7" x14ac:dyDescent="0.15">
      <c r="F42" t="str">
        <f t="shared" ca="1" si="5"/>
        <v>insert into guide values ('G08', 'Mr. Miesha Shultz', 'F', 840, '10-Jun-2013');</v>
      </c>
    </row>
    <row r="43" spans="6:7" x14ac:dyDescent="0.15">
      <c r="F43" t="str">
        <f t="shared" ca="1" si="5"/>
        <v>insert into guide values ('G09', 'Mr. Cherise Zavala', 'F', 1481, '10-Jul-2010');</v>
      </c>
    </row>
    <row r="44" spans="6:7" x14ac:dyDescent="0.15">
      <c r="F44" t="str">
        <f t="shared" ca="1" si="5"/>
        <v>insert into guide values ('G10', 'Mr. Faye Darnell', 'F', 1077, '03-Dec-2007');</v>
      </c>
    </row>
    <row r="45" spans="6:7" x14ac:dyDescent="0.15">
      <c r="F45" t="str">
        <f t="shared" ca="1" si="5"/>
        <v>insert into guide values ('G11', 'Mr. Kirsten Guy', 'F', 1442, '02-Jan-2016');</v>
      </c>
    </row>
    <row r="46" spans="6:7" x14ac:dyDescent="0.15">
      <c r="F46" t="str">
        <f t="shared" ca="1" si="5"/>
        <v>insert into guide values ('G12', 'Mr. Cassi Manakis', 'F', 836, '19-Aug-2010');</v>
      </c>
    </row>
    <row r="47" spans="6:7" x14ac:dyDescent="0.15">
      <c r="F47" t="str">
        <f t="shared" ca="1" si="5"/>
        <v>insert into guide values ('G13', 'Ms. Noah Greer', 'M', 1097, '13-Oct-2008');</v>
      </c>
    </row>
    <row r="48" spans="6:7" x14ac:dyDescent="0.15">
      <c r="F48" t="str">
        <f t="shared" ca="1" si="5"/>
        <v>insert into guide values ('G14', 'Mr. Merry Jung', 'F', 1258, '06-Feb-2013');</v>
      </c>
    </row>
    <row r="49" spans="6:6" x14ac:dyDescent="0.15">
      <c r="F49" t="str">
        <f t="shared" ca="1" si="5"/>
        <v>insert into guide values ('G15', 'Ms. Santo Rubin', 'M', 929, '09-Nov-2006');</v>
      </c>
    </row>
    <row r="50" spans="6:6" x14ac:dyDescent="0.15">
      <c r="F50" t="str">
        <f t="shared" ca="1" si="5"/>
        <v>insert into guide values ('G16', 'Mr. Judith Gleason', 'F', 1420, '22-May-2009');</v>
      </c>
    </row>
    <row r="51" spans="6:6" x14ac:dyDescent="0.15">
      <c r="F51" t="str">
        <f t="shared" ca="1" si="5"/>
        <v>insert into guide values ('G17', 'Mr. Dorene Nix', 'F', 861, '31-Jul-2010');</v>
      </c>
    </row>
    <row r="52" spans="6:6" x14ac:dyDescent="0.15">
      <c r="F52" t="str">
        <f t="shared" ca="1" si="5"/>
        <v>insert into guide values ('G18', 'Ms. Brent Krueger', 'M', 1336, '22-Feb-2006');</v>
      </c>
    </row>
    <row r="53" spans="6:6" x14ac:dyDescent="0.15">
      <c r="F53" t="str">
        <f t="shared" ca="1" si="5"/>
        <v>insert into guide values ('G19', 'Ms. Leroy Jacob', 'M', 999, '29-Sep-2012');</v>
      </c>
    </row>
    <row r="54" spans="6:6" x14ac:dyDescent="0.15">
      <c r="F54" t="str">
        <f t="shared" ca="1" si="5"/>
        <v>insert into guide values ('G20', 'Ms. Gene Crum', 'M', 1208, '19-Jul-2012');</v>
      </c>
    </row>
    <row r="55" spans="6:6" x14ac:dyDescent="0.15">
      <c r="F55" t="str">
        <f t="shared" ca="1" si="5"/>
        <v>insert into guide values ('G21', 'Ms. Nicholas Solomon', 'M', 891, '01-Sep-2008');</v>
      </c>
    </row>
    <row r="56" spans="6:6" x14ac:dyDescent="0.15">
      <c r="F56" t="str">
        <f t="shared" ca="1" si="5"/>
        <v>insert into guide values ('G22', 'Mr. Harriet Kirkland', 'F', 1427, '19-Jan-2010');</v>
      </c>
    </row>
    <row r="57" spans="6:6" x14ac:dyDescent="0.15">
      <c r="F57" t="str">
        <f t="shared" ca="1" si="5"/>
        <v>insert into guide values ('G23', 'Ms. Rickie Corbin', 'M', 1018, '06-Apr-2006');</v>
      </c>
    </row>
    <row r="58" spans="6:6" x14ac:dyDescent="0.15">
      <c r="F58" t="str">
        <f t="shared" ca="1" si="5"/>
        <v>insert into guide values ('G24', 'Mr. Penelope Dillard', 'F', 1068, '12-Nov-2012');</v>
      </c>
    </row>
    <row r="59" spans="6:6" x14ac:dyDescent="0.15">
      <c r="F59" t="str">
        <f t="shared" ca="1" si="5"/>
        <v>insert into guide values ('G25', 'Ms. Cordell Mahoney', 'M', 1303, '19-Dec-2015');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132"/>
  <sheetViews>
    <sheetView tabSelected="1" topLeftCell="A89" zoomScale="130" zoomScaleNormal="130" zoomScalePageLayoutView="130" workbookViewId="0">
      <selection activeCell="J26" sqref="J26:J32"/>
    </sheetView>
  </sheetViews>
  <sheetFormatPr baseColWidth="10" defaultColWidth="8.83203125" defaultRowHeight="13" x14ac:dyDescent="0.15"/>
  <cols>
    <col min="1" max="1" width="5.5" bestFit="1" customWidth="1"/>
    <col min="2" max="3" width="18.1640625" customWidth="1"/>
    <col min="4" max="4" width="15" bestFit="1" customWidth="1"/>
    <col min="5" max="5" width="10.33203125" bestFit="1" customWidth="1"/>
    <col min="6" max="6" width="17.83203125" bestFit="1" customWidth="1"/>
    <col min="7" max="7" width="11" bestFit="1" customWidth="1"/>
    <col min="10" max="10" width="18" bestFit="1" customWidth="1"/>
    <col min="11" max="11" width="9.5" customWidth="1"/>
  </cols>
  <sheetData>
    <row r="1" spans="1:12" x14ac:dyDescent="0.15">
      <c r="A1" t="s">
        <v>4104</v>
      </c>
      <c r="B1" t="s">
        <v>4109</v>
      </c>
      <c r="C1" t="s">
        <v>4116</v>
      </c>
      <c r="D1" t="s">
        <v>4110</v>
      </c>
      <c r="E1" t="s">
        <v>4111</v>
      </c>
      <c r="F1" t="s">
        <v>4112</v>
      </c>
      <c r="G1" t="s">
        <v>4113</v>
      </c>
    </row>
    <row r="2" spans="1:12" x14ac:dyDescent="0.15">
      <c r="A2" t="s">
        <v>4201</v>
      </c>
      <c r="B2" s="1" t="str">
        <f ca="1">IF(C2="F","Mr.","Ms.")&amp;" "&amp;IF(C2="F",r_fname_f(),r_fname_m())&amp;" "&amp;r_lname()</f>
        <v>Ms. Jerrell Ramsey</v>
      </c>
      <c r="C2" s="4" t="str">
        <f ca="1">r_choice(Table172[Gender])</f>
        <v>M</v>
      </c>
      <c r="D2" t="str">
        <f ca="1">r_choice(Table11[ID])</f>
        <v>N</v>
      </c>
      <c r="E2" t="str">
        <f t="shared" ref="E2:E33" ca="1" si="0">r_choice($J$4:$J$11)</f>
        <v>North West</v>
      </c>
      <c r="F2" t="str">
        <f ca="1">r_integer(1,500)&amp;" "&amp;r_lname()&amp;" "&amp;r_choice($J$16:$J$21)</f>
        <v>229 Wynn Square</v>
      </c>
      <c r="G2" t="str">
        <f t="shared" ref="G2:G33" ca="1" si="1">r_integer(690,699) &amp; "/" &amp; r_integer(100,999) &amp; " " &amp; r_integer(1000,9999)</f>
        <v>691/962 9325</v>
      </c>
    </row>
    <row r="3" spans="1:12" x14ac:dyDescent="0.15">
      <c r="A3" t="s">
        <v>4202</v>
      </c>
      <c r="B3" s="1" t="str">
        <f ca="1">IF(C3="F","Mr.","Ms.")&amp;" "&amp;IF(C3="F",r_fname_f(),r_fname_m())&amp;" "&amp;r_lname()</f>
        <v>Ms. Britt Hopkins</v>
      </c>
      <c r="C3" s="4" t="str">
        <f ca="1">r_choice(Table172[Gender])</f>
        <v>M</v>
      </c>
      <c r="D3" t="str">
        <f ca="1">r_choice(Table11[ID])</f>
        <v>S</v>
      </c>
      <c r="E3" t="str">
        <f t="shared" ca="1" si="0"/>
        <v>South</v>
      </c>
      <c r="F3" t="str">
        <f ca="1">r_integer(1,500)&amp;" "&amp;r_lname()&amp;" "&amp;r_choice($J$16:$J$21)</f>
        <v>271 Currie Park</v>
      </c>
      <c r="G3" t="str">
        <f t="shared" ca="1" si="1"/>
        <v>691/530 5550</v>
      </c>
      <c r="J3" t="s">
        <v>4111</v>
      </c>
    </row>
    <row r="4" spans="1:12" x14ac:dyDescent="0.15">
      <c r="A4" t="s">
        <v>4204</v>
      </c>
      <c r="B4" s="1" t="str">
        <f ca="1">IF(C4="F","Mr.","Ms.")&amp;" "&amp;IF(C4="F",r_fname_f(),r_fname_m())&amp;" "&amp;r_lname()</f>
        <v>Mr. Kelly Holley</v>
      </c>
      <c r="C4" s="4" t="str">
        <f ca="1">r_choice(Table172[Gender])</f>
        <v>F</v>
      </c>
      <c r="D4" t="str">
        <f ca="1">r_choice(Table11[ID])</f>
        <v>B</v>
      </c>
      <c r="E4" t="str">
        <f t="shared" ca="1" si="0"/>
        <v>South</v>
      </c>
      <c r="F4" t="str">
        <f ca="1">r_integer(1,500)&amp;" "&amp;r_lname()&amp;" "&amp;r_choice($J$16:$J$21)</f>
        <v>149 Delacruz Square</v>
      </c>
      <c r="G4" t="str">
        <f t="shared" ca="1" si="1"/>
        <v>697/826 8041</v>
      </c>
      <c r="J4" t="s">
        <v>2486</v>
      </c>
    </row>
    <row r="5" spans="1:12" x14ac:dyDescent="0.15">
      <c r="A5" t="s">
        <v>4205</v>
      </c>
      <c r="B5" s="1" t="str">
        <f ca="1">IF(C5="F","Mr.","Ms.")&amp;" "&amp;IF(C5="F",r_fname_f(),r_fname_m())&amp;" "&amp;r_lname()</f>
        <v>Mr. Carolyn Hagan</v>
      </c>
      <c r="C5" s="4" t="str">
        <f ca="1">r_choice(Table172[Gender])</f>
        <v>F</v>
      </c>
      <c r="D5" t="str">
        <f ca="1">r_choice(Table11[ID])</f>
        <v>B</v>
      </c>
      <c r="E5" t="str">
        <f t="shared" ca="1" si="0"/>
        <v>South</v>
      </c>
      <c r="F5" t="str">
        <f ca="1">r_integer(1,500)&amp;" "&amp;r_lname()&amp;" "&amp;r_choice($J$16:$J$21)</f>
        <v>185 Picasso Avenue</v>
      </c>
      <c r="G5" t="str">
        <f t="shared" ca="1" si="1"/>
        <v>695/388 1374</v>
      </c>
      <c r="J5" t="s">
        <v>4281</v>
      </c>
    </row>
    <row r="6" spans="1:12" x14ac:dyDescent="0.15">
      <c r="A6" t="s">
        <v>4216</v>
      </c>
      <c r="B6" s="1" t="str">
        <f ca="1">IF(C6="F","Mr.","Ms.")&amp;" "&amp;IF(C6="F",r_fname_f(),r_fname_m())&amp;" "&amp;r_lname()</f>
        <v>Mr. Ena Kearney</v>
      </c>
      <c r="C6" s="4" t="str">
        <f ca="1">r_choice(Table172[Gender])</f>
        <v>F</v>
      </c>
      <c r="D6" t="str">
        <f ca="1">r_choice(Table11[ID])</f>
        <v>G</v>
      </c>
      <c r="E6" t="str">
        <f t="shared" ca="1" si="0"/>
        <v>North East</v>
      </c>
      <c r="F6" t="str">
        <f ca="1">r_integer(1,500)&amp;" "&amp;r_lname()&amp;" "&amp;r_choice($J$16:$J$21)</f>
        <v>87 Kishel Street</v>
      </c>
      <c r="G6" t="str">
        <f t="shared" ca="1" si="1"/>
        <v>695/495 7940</v>
      </c>
      <c r="J6" t="s">
        <v>4276</v>
      </c>
      <c r="L6" t="s">
        <v>4722</v>
      </c>
    </row>
    <row r="7" spans="1:12" x14ac:dyDescent="0.15">
      <c r="A7" t="s">
        <v>4260</v>
      </c>
      <c r="B7" s="1" t="str">
        <f ca="1">IF(C7="F","Mr.","Ms.")&amp;" "&amp;IF(C7="F",r_fname_f(),r_fname_m())&amp;" "&amp;r_lname()</f>
        <v>Ms. Lucius Ly</v>
      </c>
      <c r="C7" s="4" t="str">
        <f ca="1">r_choice(Table172[Gender])</f>
        <v>M</v>
      </c>
      <c r="D7" t="str">
        <f ca="1">r_choice(Table11[ID])</f>
        <v>S</v>
      </c>
      <c r="E7" t="str">
        <f t="shared" ca="1" si="0"/>
        <v>North West</v>
      </c>
      <c r="F7" t="str">
        <f ca="1">r_integer(1,500)&amp;" "&amp;r_lname()&amp;" "&amp;r_choice($J$16:$J$21)</f>
        <v>42 Donnelly Place</v>
      </c>
      <c r="G7" t="str">
        <f t="shared" ca="1" si="1"/>
        <v>699/971 8817</v>
      </c>
      <c r="J7" t="s">
        <v>4277</v>
      </c>
      <c r="L7" t="s">
        <v>4176</v>
      </c>
    </row>
    <row r="8" spans="1:12" x14ac:dyDescent="0.15">
      <c r="A8" t="s">
        <v>4261</v>
      </c>
      <c r="B8" s="1" t="str">
        <f ca="1">IF(C8="F","Mr.","Ms.")&amp;" "&amp;IF(C8="F",r_fname_f(),r_fname_m())&amp;" "&amp;r_lname()</f>
        <v>Mr. Kacey Clay</v>
      </c>
      <c r="C8" s="4" t="str">
        <f ca="1">r_choice(Table172[Gender])</f>
        <v>F</v>
      </c>
      <c r="D8" t="str">
        <f ca="1">r_choice(Table11[ID])</f>
        <v>P</v>
      </c>
      <c r="E8" t="str">
        <f t="shared" ca="1" si="0"/>
        <v>South</v>
      </c>
      <c r="F8" t="str">
        <f ca="1">r_integer(1,500)&amp;" "&amp;r_lname()&amp;" "&amp;r_choice($J$16:$J$21)</f>
        <v>365 Proctor Square</v>
      </c>
      <c r="G8" t="str">
        <f t="shared" ca="1" si="1"/>
        <v>690/723 2192</v>
      </c>
      <c r="J8" t="s">
        <v>4278</v>
      </c>
      <c r="L8" t="s">
        <v>4177</v>
      </c>
    </row>
    <row r="9" spans="1:12" x14ac:dyDescent="0.15">
      <c r="A9" t="s">
        <v>4263</v>
      </c>
      <c r="B9" s="1" t="str">
        <f ca="1">IF(C9="F","Mr.","Ms.")&amp;" "&amp;IF(C9="F",r_fname_f(),r_fname_m())&amp;" "&amp;r_lname()</f>
        <v>Ms. Mckinley Weller</v>
      </c>
      <c r="C9" s="4" t="str">
        <f ca="1">r_choice(Table172[Gender])</f>
        <v>M</v>
      </c>
      <c r="D9" t="str">
        <f ca="1">r_choice(Table11[ID])</f>
        <v>G</v>
      </c>
      <c r="E9" t="str">
        <f t="shared" ca="1" si="0"/>
        <v>South East</v>
      </c>
      <c r="F9" t="str">
        <f ca="1">r_integer(1,500)&amp;" "&amp;r_lname()&amp;" "&amp;r_choice($J$16:$J$21)</f>
        <v>307 Boucher Place</v>
      </c>
      <c r="G9" t="str">
        <f t="shared" ca="1" si="1"/>
        <v>699/924 3664</v>
      </c>
      <c r="J9" t="s">
        <v>4279</v>
      </c>
    </row>
    <row r="10" spans="1:12" x14ac:dyDescent="0.15">
      <c r="A10" t="s">
        <v>4264</v>
      </c>
      <c r="B10" s="1" t="str">
        <f ca="1">IF(C10="F","Mr.","Ms.")&amp;" "&amp;IF(C10="F",r_fname_f(),r_fname_m())&amp;" "&amp;r_lname()</f>
        <v>Mr. Penelope Landis</v>
      </c>
      <c r="C10" s="4" t="str">
        <f ca="1">r_choice(Table172[Gender])</f>
        <v>F</v>
      </c>
      <c r="D10" t="str">
        <f ca="1">r_choice(Table11[ID])</f>
        <v>P</v>
      </c>
      <c r="E10" t="str">
        <f t="shared" ca="1" si="0"/>
        <v>East</v>
      </c>
      <c r="F10" t="str">
        <f ca="1">r_integer(1,500)&amp;" "&amp;r_lname()&amp;" "&amp;r_choice($J$16:$J$21)</f>
        <v>411 Shepard Avenue</v>
      </c>
      <c r="G10" t="str">
        <f t="shared" ca="1" si="1"/>
        <v>692/819 3979</v>
      </c>
      <c r="J10" t="s">
        <v>4280</v>
      </c>
    </row>
    <row r="11" spans="1:12" x14ac:dyDescent="0.15">
      <c r="A11" t="s">
        <v>4267</v>
      </c>
      <c r="B11" s="1" t="str">
        <f ca="1">IF(C11="F","Mr.","Ms.")&amp;" "&amp;IF(C11="F",r_fname_f(),r_fname_m())&amp;" "&amp;r_lname()</f>
        <v>Ms. Milford Akyurek</v>
      </c>
      <c r="C11" s="4" t="str">
        <f ca="1">r_choice(Table172[Gender])</f>
        <v>M</v>
      </c>
      <c r="D11" t="str">
        <f ca="1">r_choice(Table11[ID])</f>
        <v>G</v>
      </c>
      <c r="E11" t="str">
        <f t="shared" ca="1" si="0"/>
        <v>North West</v>
      </c>
      <c r="F11" t="str">
        <f ca="1">r_integer(1,500)&amp;" "&amp;r_lname()&amp;" "&amp;r_choice($J$16:$J$21)</f>
        <v>115 Steele Place</v>
      </c>
      <c r="G11" t="str">
        <f t="shared" ca="1" si="1"/>
        <v>691/941 5100</v>
      </c>
      <c r="J11" t="s">
        <v>564</v>
      </c>
    </row>
    <row r="12" spans="1:12" x14ac:dyDescent="0.15">
      <c r="A12" t="s">
        <v>4269</v>
      </c>
      <c r="B12" s="1" t="str">
        <f ca="1">IF(C12="F","Mr.","Ms.")&amp;" "&amp;IF(C12="F",r_fname_f(),r_fname_m())&amp;" "&amp;r_lname()</f>
        <v>Mr. Suzann Dominico</v>
      </c>
      <c r="C12" s="4" t="str">
        <f ca="1">r_choice(Table172[Gender])</f>
        <v>F</v>
      </c>
      <c r="D12" t="str">
        <f ca="1">r_choice(Table11[ID])</f>
        <v>N</v>
      </c>
      <c r="E12" t="str">
        <f t="shared" ca="1" si="0"/>
        <v>South West</v>
      </c>
      <c r="F12" t="str">
        <f ca="1">r_integer(1,500)&amp;" "&amp;r_lname()&amp;" "&amp;r_choice($J$16:$J$21)</f>
        <v>196 Beckham Lane</v>
      </c>
      <c r="G12" t="str">
        <f t="shared" ca="1" si="1"/>
        <v>694/931 5383</v>
      </c>
    </row>
    <row r="13" spans="1:12" x14ac:dyDescent="0.15">
      <c r="A13" t="s">
        <v>4274</v>
      </c>
      <c r="B13" s="1" t="str">
        <f ca="1">IF(C13="F","Mr.","Ms.")&amp;" "&amp;IF(C13="F",r_fname_f(),r_fname_m())&amp;" "&amp;r_lname()</f>
        <v>Ms. Daniel Rosado</v>
      </c>
      <c r="C13" s="4" t="str">
        <f ca="1">r_choice(Table172[Gender])</f>
        <v>M</v>
      </c>
      <c r="D13" t="str">
        <f ca="1">r_choice(Table11[ID])</f>
        <v>G</v>
      </c>
      <c r="E13" t="str">
        <f t="shared" ca="1" si="0"/>
        <v>East</v>
      </c>
      <c r="F13" t="str">
        <f ca="1">r_integer(1,500)&amp;" "&amp;r_lname()&amp;" "&amp;r_choice($J$16:$J$21)</f>
        <v>268 Finn Street</v>
      </c>
      <c r="G13" t="str">
        <f t="shared" ca="1" si="1"/>
        <v>694/803 9154</v>
      </c>
    </row>
    <row r="14" spans="1:12" x14ac:dyDescent="0.15">
      <c r="A14" t="s">
        <v>4275</v>
      </c>
      <c r="B14" s="1" t="str">
        <f ca="1">IF(C14="F","Mr.","Ms.")&amp;" "&amp;IF(C14="F",r_fname_f(),r_fname_m())&amp;" "&amp;r_lname()</f>
        <v>Ms. Gayle Douglas</v>
      </c>
      <c r="C14" s="4" t="str">
        <f ca="1">r_choice(Table172[Gender])</f>
        <v>M</v>
      </c>
      <c r="D14" t="str">
        <f ca="1">r_choice(Table11[ID])</f>
        <v>B</v>
      </c>
      <c r="E14" t="str">
        <f t="shared" ca="1" si="0"/>
        <v>South</v>
      </c>
      <c r="F14" t="str">
        <f ca="1">r_integer(1,500)&amp;" "&amp;r_lname()&amp;" "&amp;r_choice($J$16:$J$21)</f>
        <v>213 Shields Place</v>
      </c>
      <c r="G14" t="str">
        <f t="shared" ca="1" si="1"/>
        <v>695/367 5352</v>
      </c>
    </row>
    <row r="15" spans="1:12" x14ac:dyDescent="0.15">
      <c r="A15" t="s">
        <v>4567</v>
      </c>
      <c r="B15" s="1" t="str">
        <f ca="1">IF(C15="F","Mr.","Ms.")&amp;" "&amp;IF(C15="F",r_fname_f(),r_fname_m())&amp;" "&amp;r_lname()</f>
        <v>Ms. Eric Mcclellan</v>
      </c>
      <c r="C15" s="4" t="str">
        <f ca="1">r_choice(Table172[Gender])</f>
        <v>M</v>
      </c>
      <c r="D15" s="3" t="str">
        <f ca="1">r_choice(Table11[ID])</f>
        <v>S</v>
      </c>
      <c r="E15" s="3" t="str">
        <f t="shared" ca="1" si="0"/>
        <v>North</v>
      </c>
      <c r="F15" s="3" t="str">
        <f ca="1">r_integer(1,500)&amp;" "&amp;r_lname()&amp;" "&amp;r_choice($J$16:$J$21)</f>
        <v>229 Rainey Park</v>
      </c>
      <c r="G15" s="3" t="str">
        <f t="shared" ca="1" si="1"/>
        <v>692/605 8683</v>
      </c>
      <c r="J15" t="s">
        <v>4726</v>
      </c>
    </row>
    <row r="16" spans="1:12" x14ac:dyDescent="0.15">
      <c r="A16" t="s">
        <v>4569</v>
      </c>
      <c r="B16" s="1" t="str">
        <f ca="1">IF(C16="F","Mr.","Ms.")&amp;" "&amp;IF(C16="F",r_fname_f(),r_fname_m())&amp;" "&amp;r_lname()</f>
        <v>Mr. Olene Engle</v>
      </c>
      <c r="C16" s="4" t="str">
        <f ca="1">r_choice(Table172[Gender])</f>
        <v>F</v>
      </c>
      <c r="D16" s="3" t="str">
        <f ca="1">r_choice(Table11[ID])</f>
        <v>P</v>
      </c>
      <c r="E16" s="3" t="str">
        <f t="shared" ca="1" si="0"/>
        <v>North West</v>
      </c>
      <c r="F16" s="3" t="str">
        <f ca="1">r_integer(1,500)&amp;" "&amp;r_lname()&amp;" "&amp;r_choice($J$16:$J$21)</f>
        <v>184 Jorgensen Park</v>
      </c>
      <c r="G16" s="3" t="str">
        <f t="shared" ca="1" si="1"/>
        <v>697/236 8910</v>
      </c>
      <c r="J16" t="s">
        <v>2561</v>
      </c>
    </row>
    <row r="17" spans="1:11" x14ac:dyDescent="0.15">
      <c r="A17" t="s">
        <v>4576</v>
      </c>
      <c r="B17" s="1" t="str">
        <f ca="1">IF(C17="F","Mr.","Ms.")&amp;" "&amp;IF(C17="F",r_fname_f(),r_fname_m())&amp;" "&amp;r_lname()</f>
        <v>Ms. Shane Queen</v>
      </c>
      <c r="C17" s="4" t="str">
        <f ca="1">r_choice(Table172[Gender])</f>
        <v>M</v>
      </c>
      <c r="D17" s="3" t="str">
        <f ca="1">r_choice(Table11[ID])</f>
        <v>P</v>
      </c>
      <c r="E17" s="3" t="str">
        <f t="shared" ca="1" si="0"/>
        <v>North West</v>
      </c>
      <c r="F17" s="3" t="str">
        <f ca="1">r_integer(1,500)&amp;" "&amp;r_lname()&amp;" "&amp;r_choice($J$16:$J$21)</f>
        <v>136 Leonards Square</v>
      </c>
      <c r="G17" s="3" t="str">
        <f t="shared" ca="1" si="1"/>
        <v>699/835 7941</v>
      </c>
      <c r="J17" t="s">
        <v>4282</v>
      </c>
    </row>
    <row r="18" spans="1:11" x14ac:dyDescent="0.15">
      <c r="A18" t="s">
        <v>4586</v>
      </c>
      <c r="B18" s="1" t="str">
        <f ca="1">IF(C18="F","Mr.","Ms.")&amp;" "&amp;IF(C18="F",r_fname_f(),r_fname_m())&amp;" "&amp;r_lname()</f>
        <v>Ms. Dash Kirchener</v>
      </c>
      <c r="C18" s="4" t="str">
        <f ca="1">r_choice(Table172[Gender])</f>
        <v>M</v>
      </c>
      <c r="D18" s="3" t="str">
        <f ca="1">r_choice(Table11[ID])</f>
        <v>G</v>
      </c>
      <c r="E18" s="3" t="str">
        <f t="shared" ca="1" si="0"/>
        <v>North</v>
      </c>
      <c r="F18" s="3" t="str">
        <f ca="1">r_integer(1,500)&amp;" "&amp;r_lname()&amp;" "&amp;r_choice($J$16:$J$21)</f>
        <v>242 Kinney Place</v>
      </c>
      <c r="G18" s="3" t="str">
        <f t="shared" ca="1" si="1"/>
        <v>693/412 8536</v>
      </c>
      <c r="J18" t="s">
        <v>4283</v>
      </c>
    </row>
    <row r="19" spans="1:11" x14ac:dyDescent="0.15">
      <c r="A19" t="s">
        <v>4588</v>
      </c>
      <c r="B19" s="1" t="str">
        <f ca="1">IF(C19="F","Mr.","Ms.")&amp;" "&amp;IF(C19="F",r_fname_f(),r_fname_m())&amp;" "&amp;r_lname()</f>
        <v>Mr. Tammara Martin</v>
      </c>
      <c r="C19" s="4" t="str">
        <f ca="1">r_choice(Table172[Gender])</f>
        <v>F</v>
      </c>
      <c r="D19" s="3" t="str">
        <f ca="1">r_choice(Table11[ID])</f>
        <v>S</v>
      </c>
      <c r="E19" s="3" t="str">
        <f t="shared" ca="1" si="0"/>
        <v>South West</v>
      </c>
      <c r="F19" s="3" t="str">
        <f ca="1">r_integer(1,500)&amp;" "&amp;r_lname()&amp;" "&amp;r_choice($J$16:$J$21)</f>
        <v>397 Mclean Park</v>
      </c>
      <c r="G19" s="3" t="str">
        <f t="shared" ca="1" si="1"/>
        <v>696/875 4505</v>
      </c>
      <c r="J19" t="s">
        <v>4284</v>
      </c>
    </row>
    <row r="20" spans="1:11" x14ac:dyDescent="0.15">
      <c r="A20" t="s">
        <v>4592</v>
      </c>
      <c r="B20" s="1" t="str">
        <f ca="1">IF(C20="F","Mr.","Ms.")&amp;" "&amp;IF(C20="F",r_fname_f(),r_fname_m())&amp;" "&amp;r_lname()</f>
        <v>Mr. Harriet Bergeron</v>
      </c>
      <c r="C20" s="4" t="str">
        <f ca="1">r_choice(Table172[Gender])</f>
        <v>F</v>
      </c>
      <c r="D20" s="3" t="str">
        <f ca="1">r_choice(Table11[ID])</f>
        <v>S</v>
      </c>
      <c r="E20" s="3" t="str">
        <f t="shared" ca="1" si="0"/>
        <v>South</v>
      </c>
      <c r="F20" s="3" t="str">
        <f ca="1">r_integer(1,500)&amp;" "&amp;r_lname()&amp;" "&amp;r_choice($J$16:$J$21)</f>
        <v>328 Soriano Place</v>
      </c>
      <c r="G20" s="3" t="str">
        <f t="shared" ca="1" si="1"/>
        <v>696/331 4609</v>
      </c>
      <c r="J20" t="s">
        <v>1364</v>
      </c>
    </row>
    <row r="21" spans="1:11" x14ac:dyDescent="0.15">
      <c r="A21" t="s">
        <v>4601</v>
      </c>
      <c r="B21" s="1" t="str">
        <f ca="1">IF(C21="F","Mr.","Ms.")&amp;" "&amp;IF(C21="F",r_fname_f(),r_fname_m())&amp;" "&amp;r_lname()</f>
        <v>Mr. Melodie Cooley</v>
      </c>
      <c r="C21" s="4" t="str">
        <f ca="1">r_choice(Table172[Gender])</f>
        <v>F</v>
      </c>
      <c r="D21" s="3" t="str">
        <f ca="1">r_choice(Table11[ID])</f>
        <v>P</v>
      </c>
      <c r="E21" s="3" t="str">
        <f t="shared" ca="1" si="0"/>
        <v>East</v>
      </c>
      <c r="F21" s="3" t="str">
        <f ca="1">r_integer(1,500)&amp;" "&amp;r_lname()&amp;" "&amp;r_choice($J$16:$J$21)</f>
        <v>206 Gallagher Avenue</v>
      </c>
      <c r="G21" s="3" t="str">
        <f t="shared" ca="1" si="1"/>
        <v>695/698 5664</v>
      </c>
      <c r="J21" t="s">
        <v>467</v>
      </c>
    </row>
    <row r="22" spans="1:11" x14ac:dyDescent="0.15">
      <c r="A22" t="s">
        <v>4605</v>
      </c>
      <c r="B22" s="1" t="str">
        <f ca="1">IF(C22="F","Mr.","Ms.")&amp;" "&amp;IF(C22="F",r_fname_f(),r_fname_m())&amp;" "&amp;r_lname()</f>
        <v>Mr. Cierra Bradford</v>
      </c>
      <c r="C22" s="4" t="str">
        <f ca="1">r_choice(Table172[Gender])</f>
        <v>F</v>
      </c>
      <c r="D22" s="3" t="str">
        <f ca="1">r_choice(Table11[ID])</f>
        <v>G</v>
      </c>
      <c r="E22" s="3" t="str">
        <f t="shared" ca="1" si="0"/>
        <v>South</v>
      </c>
      <c r="F22" s="3" t="str">
        <f ca="1">r_integer(1,500)&amp;" "&amp;r_lname()&amp;" "&amp;r_choice($J$16:$J$21)</f>
        <v>347 Rudolph Avenue</v>
      </c>
      <c r="G22" s="3" t="str">
        <f t="shared" ca="1" si="1"/>
        <v>697/340 1802</v>
      </c>
    </row>
    <row r="23" spans="1:11" x14ac:dyDescent="0.15">
      <c r="A23" t="s">
        <v>4611</v>
      </c>
      <c r="B23" s="1" t="str">
        <f ca="1">IF(C23="F","Mr.","Ms.")&amp;" "&amp;IF(C23="F",r_fname_f(),r_fname_m())&amp;" "&amp;r_lname()</f>
        <v>Mr. Marcelene Elliott</v>
      </c>
      <c r="C23" s="4" t="str">
        <f ca="1">r_choice(Table172[Gender])</f>
        <v>F</v>
      </c>
      <c r="D23" s="3" t="str">
        <f ca="1">r_choice(Table11[ID])</f>
        <v>N</v>
      </c>
      <c r="E23" s="3" t="str">
        <f t="shared" ca="1" si="0"/>
        <v>North</v>
      </c>
      <c r="F23" s="3" t="str">
        <f ca="1">r_integer(1,500)&amp;" "&amp;r_lname()&amp;" "&amp;r_choice($J$16:$J$21)</f>
        <v>179 Castillo Street</v>
      </c>
      <c r="G23" s="3" t="str">
        <f t="shared" ca="1" si="1"/>
        <v>694/501 8135</v>
      </c>
    </row>
    <row r="24" spans="1:11" x14ac:dyDescent="0.15">
      <c r="A24" t="s">
        <v>4203</v>
      </c>
      <c r="B24" s="1" t="str">
        <f ca="1">IF(C24="F","Mr.","Ms.")&amp;" "&amp;IF(C24="F",r_fname_f(),r_fname_m())&amp;" "&amp;r_lname()</f>
        <v>Mr. Alesha Palacios</v>
      </c>
      <c r="C24" s="4" t="str">
        <f ca="1">r_choice(Table172[Gender])</f>
        <v>F</v>
      </c>
      <c r="D24" t="str">
        <f ca="1">r_choice(Table11[ID])</f>
        <v>N</v>
      </c>
      <c r="E24" t="str">
        <f t="shared" ca="1" si="0"/>
        <v>South West</v>
      </c>
      <c r="F24" t="str">
        <f ca="1">r_integer(1,500)&amp;" "&amp;r_lname()&amp;" "&amp;r_choice($J$16:$J$21)</f>
        <v>27 Stroud Place</v>
      </c>
      <c r="G24" t="str">
        <f t="shared" ca="1" si="1"/>
        <v>698/169 3074</v>
      </c>
    </row>
    <row r="25" spans="1:11" x14ac:dyDescent="0.15">
      <c r="A25" t="s">
        <v>4209</v>
      </c>
      <c r="B25" s="1" t="str">
        <f ca="1">IF(C25="F","Mr.","Ms.")&amp;" "&amp;IF(C25="F",r_fname_f(),r_fname_m())&amp;" "&amp;r_lname()</f>
        <v>Ms. Donny Melendez</v>
      </c>
      <c r="C25" s="4" t="str">
        <f ca="1">r_choice(Table172[Gender])</f>
        <v>M</v>
      </c>
      <c r="D25" t="str">
        <f ca="1">r_choice(Table11[ID])</f>
        <v>B</v>
      </c>
      <c r="E25" t="str">
        <f t="shared" ca="1" si="0"/>
        <v>North West</v>
      </c>
      <c r="F25" t="str">
        <f ca="1">r_integer(1,500)&amp;" "&amp;r_lname()&amp;" "&amp;r_choice($J$16:$J$21)</f>
        <v>175 Paredes Place</v>
      </c>
      <c r="G25" t="str">
        <f t="shared" ca="1" si="1"/>
        <v>694/326 2896</v>
      </c>
      <c r="J25" t="s">
        <v>4723</v>
      </c>
      <c r="K25" t="s">
        <v>4724</v>
      </c>
    </row>
    <row r="26" spans="1:11" x14ac:dyDescent="0.15">
      <c r="A26" t="s">
        <v>4210</v>
      </c>
      <c r="B26" s="1" t="str">
        <f ca="1">IF(C26="F","Mr.","Ms.")&amp;" "&amp;IF(C26="F",r_fname_f(),r_fname_m())&amp;" "&amp;r_lname()</f>
        <v>Mr. Mitsuko Velez</v>
      </c>
      <c r="C26" s="4" t="str">
        <f ca="1">r_choice(Table172[Gender])</f>
        <v>F</v>
      </c>
      <c r="D26" t="str">
        <f ca="1">r_choice(Table11[ID])</f>
        <v>G</v>
      </c>
      <c r="E26" t="str">
        <f t="shared" ca="1" si="0"/>
        <v>South West</v>
      </c>
      <c r="F26" t="str">
        <f ca="1">r_integer(1,500)&amp;" "&amp;r_lname()&amp;" "&amp;r_choice($J$16:$J$21)</f>
        <v>280 Shields Park</v>
      </c>
      <c r="G26" t="str">
        <f t="shared" ca="1" si="1"/>
        <v>698/383 2290</v>
      </c>
      <c r="J26" t="s">
        <v>4697</v>
      </c>
      <c r="K26" t="s">
        <v>4690</v>
      </c>
    </row>
    <row r="27" spans="1:11" x14ac:dyDescent="0.15">
      <c r="A27" t="s">
        <v>4213</v>
      </c>
      <c r="B27" s="1" t="str">
        <f ca="1">IF(C27="F","Mr.","Ms.")&amp;" "&amp;IF(C27="F",r_fname_f(),r_fname_m())&amp;" "&amp;r_lname()</f>
        <v>Ms. Josue Benavides</v>
      </c>
      <c r="C27" s="4" t="str">
        <f ca="1">r_choice(Table172[Gender])</f>
        <v>M</v>
      </c>
      <c r="D27" t="str">
        <f ca="1">r_choice(Table11[ID])</f>
        <v>P</v>
      </c>
      <c r="E27" t="str">
        <f t="shared" ca="1" si="0"/>
        <v>South East</v>
      </c>
      <c r="F27" t="str">
        <f ca="1">r_integer(1,500)&amp;" "&amp;r_lname()&amp;" "&amp;r_choice($J$16:$J$21)</f>
        <v>144 Shapiro Place</v>
      </c>
      <c r="G27" t="str">
        <f t="shared" ca="1" si="1"/>
        <v>698/728 3532</v>
      </c>
      <c r="J27" t="s">
        <v>4698</v>
      </c>
      <c r="K27" t="s">
        <v>4681</v>
      </c>
    </row>
    <row r="28" spans="1:11" x14ac:dyDescent="0.15">
      <c r="A28" t="s">
        <v>4217</v>
      </c>
      <c r="B28" s="1" t="str">
        <f ca="1">IF(C28="F","Mr.","Ms.")&amp;" "&amp;IF(C28="F",r_fname_f(),r_fname_m())&amp;" "&amp;r_lname()</f>
        <v>Mr. Christeen Banach</v>
      </c>
      <c r="C28" s="4" t="str">
        <f ca="1">r_choice(Table172[Gender])</f>
        <v>F</v>
      </c>
      <c r="D28" t="str">
        <f ca="1">r_choice(Table11[ID])</f>
        <v>B</v>
      </c>
      <c r="E28" t="str">
        <f t="shared" ca="1" si="0"/>
        <v>South West</v>
      </c>
      <c r="F28" t="str">
        <f ca="1">r_integer(1,500)&amp;" "&amp;r_lname()&amp;" "&amp;r_choice($J$16:$J$21)</f>
        <v>42 Mandelbrot Avenue</v>
      </c>
      <c r="G28" t="str">
        <f t="shared" ca="1" si="1"/>
        <v>698/409 1493</v>
      </c>
      <c r="J28" t="s">
        <v>4727</v>
      </c>
      <c r="K28" t="s">
        <v>4690</v>
      </c>
    </row>
    <row r="29" spans="1:11" x14ac:dyDescent="0.15">
      <c r="A29" t="s">
        <v>4259</v>
      </c>
      <c r="B29" s="1" t="str">
        <f ca="1">IF(C29="F","Mr.","Ms.")&amp;" "&amp;IF(C29="F",r_fname_f(),r_fname_m())&amp;" "&amp;r_lname()</f>
        <v>Mr. Blanch Bates</v>
      </c>
      <c r="C29" s="4" t="str">
        <f ca="1">r_choice(Table172[Gender])</f>
        <v>F</v>
      </c>
      <c r="D29" t="str">
        <f ca="1">r_choice(Table11[ID])</f>
        <v>P</v>
      </c>
      <c r="E29" t="str">
        <f t="shared" ca="1" si="0"/>
        <v>East</v>
      </c>
      <c r="F29" t="str">
        <f ca="1">r_integer(1,500)&amp;" "&amp;r_lname()&amp;" "&amp;r_choice($J$16:$J$21)</f>
        <v>45 Burrell Park</v>
      </c>
      <c r="G29" t="str">
        <f t="shared" ca="1" si="1"/>
        <v>697/748 5025</v>
      </c>
      <c r="J29" t="s">
        <v>4713</v>
      </c>
      <c r="K29" t="s">
        <v>4690</v>
      </c>
    </row>
    <row r="30" spans="1:11" x14ac:dyDescent="0.15">
      <c r="A30" t="s">
        <v>4265</v>
      </c>
      <c r="B30" s="1" t="str">
        <f ca="1">IF(C30="F","Mr.","Ms.")&amp;" "&amp;IF(C30="F",r_fname_f(),r_fname_m())&amp;" "&amp;r_lname()</f>
        <v>Ms. Noel Clay</v>
      </c>
      <c r="C30" s="4" t="str">
        <f ca="1">r_choice(Table172[Gender])</f>
        <v>M</v>
      </c>
      <c r="D30" t="str">
        <f ca="1">r_choice(Table11[ID])</f>
        <v>G</v>
      </c>
      <c r="E30" t="str">
        <f t="shared" ca="1" si="0"/>
        <v>North West</v>
      </c>
      <c r="F30" t="str">
        <f ca="1">r_integer(1,500)&amp;" "&amp;r_lname()&amp;" "&amp;r_choice($J$16:$J$21)</f>
        <v>200 Hyatt Place</v>
      </c>
      <c r="G30" t="str">
        <f t="shared" ca="1" si="1"/>
        <v>693/914 5253</v>
      </c>
      <c r="J30" t="s">
        <v>4699</v>
      </c>
      <c r="K30" t="s">
        <v>4690</v>
      </c>
    </row>
    <row r="31" spans="1:11" x14ac:dyDescent="0.15">
      <c r="A31" t="s">
        <v>4270</v>
      </c>
      <c r="B31" s="1" t="str">
        <f ca="1">IF(C31="F","Mr.","Ms.")&amp;" "&amp;IF(C31="F",r_fname_f(),r_fname_m())&amp;" "&amp;r_lname()</f>
        <v>Ms. Morris Cubrik</v>
      </c>
      <c r="C31" s="4" t="str">
        <f ca="1">r_choice(Table172[Gender])</f>
        <v>M</v>
      </c>
      <c r="D31" t="str">
        <f ca="1">r_choice(Table11[ID])</f>
        <v>B</v>
      </c>
      <c r="E31" t="str">
        <f t="shared" ca="1" si="0"/>
        <v>South East</v>
      </c>
      <c r="F31" t="str">
        <f ca="1">r_integer(1,500)&amp;" "&amp;r_lname()&amp;" "&amp;r_choice($J$16:$J$21)</f>
        <v>283 Elder Street</v>
      </c>
      <c r="G31" t="str">
        <f t="shared" ca="1" si="1"/>
        <v>690/607 8301</v>
      </c>
      <c r="J31" t="s">
        <v>4700</v>
      </c>
      <c r="K31" t="s">
        <v>4681</v>
      </c>
    </row>
    <row r="32" spans="1:11" x14ac:dyDescent="0.15">
      <c r="A32" t="s">
        <v>4554</v>
      </c>
      <c r="B32" s="1" t="str">
        <f ca="1">IF(C32="F","Mr.","Ms.")&amp;" "&amp;IF(C32="F",r_fname_f(),r_fname_m())&amp;" "&amp;r_lname()</f>
        <v>Mr. Marry Mayo</v>
      </c>
      <c r="C32" s="4" t="str">
        <f ca="1">r_choice(Table172[Gender])</f>
        <v>F</v>
      </c>
      <c r="D32" s="3" t="str">
        <f ca="1">r_choice(Table11[ID])</f>
        <v>P</v>
      </c>
      <c r="E32" s="3" t="str">
        <f t="shared" ca="1" si="0"/>
        <v>South East</v>
      </c>
      <c r="F32" s="3" t="str">
        <f ca="1">r_integer(1,500)&amp;" "&amp;r_lname()&amp;" "&amp;r_choice($J$16:$J$21)</f>
        <v>188 Broussard Lane</v>
      </c>
      <c r="G32" s="3" t="str">
        <f t="shared" ca="1" si="1"/>
        <v>697/722 7042</v>
      </c>
      <c r="J32" t="s">
        <v>4701</v>
      </c>
      <c r="K32" t="s">
        <v>4690</v>
      </c>
    </row>
    <row r="33" spans="1:10" x14ac:dyDescent="0.15">
      <c r="A33" t="s">
        <v>4558</v>
      </c>
      <c r="B33" s="1" t="str">
        <f ca="1">IF(C33="F","Mr.","Ms.")&amp;" "&amp;IF(C33="F",r_fname_f(),r_fname_m())&amp;" "&amp;r_lname()</f>
        <v>Ms. Phil Werner</v>
      </c>
      <c r="C33" s="4" t="str">
        <f ca="1">r_choice(Table172[Gender])</f>
        <v>M</v>
      </c>
      <c r="D33" s="3" t="str">
        <f ca="1">r_choice(Table11[ID])</f>
        <v>G</v>
      </c>
      <c r="E33" s="3" t="str">
        <f t="shared" ca="1" si="0"/>
        <v>North West</v>
      </c>
      <c r="F33" s="3" t="str">
        <f ca="1">r_integer(1,500)&amp;" "&amp;r_lname()&amp;" "&amp;r_choice($J$16:$J$21)</f>
        <v>388 Carlton Avenue</v>
      </c>
      <c r="G33" s="3" t="str">
        <f t="shared" ca="1" si="1"/>
        <v>697/751 8070</v>
      </c>
      <c r="J33" t="str">
        <f t="shared" ref="J33:J64" ca="1" si="2">insertinto(A2:G2,$J$26:$K$32,"customer")</f>
        <v>insert into customer values ('C01', 'Ms. Jerrell Ramsey', 'M', 'N', 'North West', '229 Wynn Square', '691/962 9325');</v>
      </c>
    </row>
    <row r="34" spans="1:10" x14ac:dyDescent="0.15">
      <c r="A34" t="s">
        <v>4560</v>
      </c>
      <c r="B34" s="1" t="str">
        <f ca="1">IF(C34="F","Mr.","Ms.")&amp;" "&amp;IF(C34="F",r_fname_f(),r_fname_m())&amp;" "&amp;r_lname()</f>
        <v>Mr. Marvis Caskill</v>
      </c>
      <c r="C34" s="4" t="str">
        <f ca="1">r_choice(Table172[Gender])</f>
        <v>F</v>
      </c>
      <c r="D34" s="3" t="str">
        <f ca="1">r_choice(Table11[ID])</f>
        <v>S</v>
      </c>
      <c r="E34" s="3" t="str">
        <f t="shared" ref="E34:E65" ca="1" si="3">r_choice($J$4:$J$11)</f>
        <v>South</v>
      </c>
      <c r="F34" s="3" t="str">
        <f ca="1">r_integer(1,500)&amp;" "&amp;r_lname()&amp;" "&amp;r_choice($J$16:$J$21)</f>
        <v>294 Griffin Lane</v>
      </c>
      <c r="G34" s="3" t="str">
        <f t="shared" ref="G34:G65" ca="1" si="4">r_integer(690,699) &amp; "/" &amp; r_integer(100,999) &amp; " " &amp; r_integer(1000,9999)</f>
        <v>698/419 1707</v>
      </c>
      <c r="J34" t="str">
        <f t="shared" ca="1" si="2"/>
        <v>insert into customer values ('C02', 'Ms. Britt Hopkins', 'M', 'S', 'South', '271 Currie Park', '691/530 5550');</v>
      </c>
    </row>
    <row r="35" spans="1:10" x14ac:dyDescent="0.15">
      <c r="A35" t="s">
        <v>4564</v>
      </c>
      <c r="B35" s="1" t="str">
        <f ca="1">IF(C35="F","Mr.","Ms.")&amp;" "&amp;IF(C35="F",r_fname_f(),r_fname_m())&amp;" "&amp;r_lname()</f>
        <v>Mr. Britney Capps</v>
      </c>
      <c r="C35" s="4" t="str">
        <f ca="1">r_choice(Table172[Gender])</f>
        <v>F</v>
      </c>
      <c r="D35" s="3" t="str">
        <f ca="1">r_choice(Table11[ID])</f>
        <v>P</v>
      </c>
      <c r="E35" s="3" t="str">
        <f t="shared" ca="1" si="3"/>
        <v>West</v>
      </c>
      <c r="F35" s="3" t="str">
        <f ca="1">r_integer(1,500)&amp;" "&amp;r_lname()&amp;" "&amp;r_choice($J$16:$J$21)</f>
        <v>415 Coreolano Street</v>
      </c>
      <c r="G35" s="3" t="str">
        <f t="shared" ca="1" si="4"/>
        <v>693/416 2146</v>
      </c>
      <c r="J35" t="str">
        <f t="shared" ca="1" si="2"/>
        <v>insert into customer values ('C04', 'Mr. Kelly Holley', 'F', 'B', 'South', '149 Delacruz Square', '697/826 8041');</v>
      </c>
    </row>
    <row r="36" spans="1:10" x14ac:dyDescent="0.15">
      <c r="A36" t="s">
        <v>4566</v>
      </c>
      <c r="B36" s="1" t="str">
        <f ca="1">IF(C36="F","Mr.","Ms.")&amp;" "&amp;IF(C36="F",r_fname_f(),r_fname_m())&amp;" "&amp;r_lname()</f>
        <v>Mr. Alie Pugh</v>
      </c>
      <c r="C36" s="4" t="str">
        <f ca="1">r_choice(Table172[Gender])</f>
        <v>F</v>
      </c>
      <c r="D36" s="3" t="str">
        <f ca="1">r_choice(Table11[ID])</f>
        <v>S</v>
      </c>
      <c r="E36" s="3" t="str">
        <f t="shared" ca="1" si="3"/>
        <v>East</v>
      </c>
      <c r="F36" s="3" t="str">
        <f ca="1">r_integer(1,500)&amp;" "&amp;r_lname()&amp;" "&amp;r_choice($J$16:$J$21)</f>
        <v>188 Youngblood Lane</v>
      </c>
      <c r="G36" s="3" t="str">
        <f t="shared" ca="1" si="4"/>
        <v>693/274 1013</v>
      </c>
      <c r="J36" t="str">
        <f t="shared" ca="1" si="2"/>
        <v>insert into customer values ('C05', 'Mr. Carolyn Hagan', 'F', 'B', 'South', '185 Picasso Avenue', '695/388 1374');</v>
      </c>
    </row>
    <row r="37" spans="1:10" x14ac:dyDescent="0.15">
      <c r="A37" t="s">
        <v>4574</v>
      </c>
      <c r="B37" s="1" t="str">
        <f ca="1">IF(C37="F","Mr.","Ms.")&amp;" "&amp;IF(C37="F",r_fname_f(),r_fname_m())&amp;" "&amp;r_lname()</f>
        <v>Ms. Laurence Olivares</v>
      </c>
      <c r="C37" s="4" t="str">
        <f ca="1">r_choice(Table172[Gender])</f>
        <v>M</v>
      </c>
      <c r="D37" s="3" t="str">
        <f ca="1">r_choice(Table11[ID])</f>
        <v>G</v>
      </c>
      <c r="E37" s="3" t="str">
        <f t="shared" ca="1" si="3"/>
        <v>East</v>
      </c>
      <c r="F37" s="3" t="str">
        <f ca="1">r_integer(1,500)&amp;" "&amp;r_lname()&amp;" "&amp;r_choice($J$16:$J$21)</f>
        <v>318 Soriano Square</v>
      </c>
      <c r="G37" s="3" t="str">
        <f t="shared" ca="1" si="4"/>
        <v>697/227 2829</v>
      </c>
      <c r="J37" t="str">
        <f t="shared" ca="1" si="2"/>
        <v>insert into customer values ('C16', 'Mr. Ena Kearney', 'F', 'G', 'North East', '87 Kishel Street', '695/495 7940');</v>
      </c>
    </row>
    <row r="38" spans="1:10" x14ac:dyDescent="0.15">
      <c r="A38" t="s">
        <v>4575</v>
      </c>
      <c r="B38" s="1" t="str">
        <f ca="1">IF(C38="F","Mr.","Ms.")&amp;" "&amp;IF(C38="F",r_fname_f(),r_fname_m())&amp;" "&amp;r_lname()</f>
        <v>Mr. Merry Barnes</v>
      </c>
      <c r="C38" s="4" t="str">
        <f ca="1">r_choice(Table172[Gender])</f>
        <v>F</v>
      </c>
      <c r="D38" s="3" t="str">
        <f ca="1">r_choice(Table11[ID])</f>
        <v>N</v>
      </c>
      <c r="E38" s="3" t="str">
        <f t="shared" ca="1" si="3"/>
        <v>East</v>
      </c>
      <c r="F38" s="3" t="str">
        <f ca="1">r_integer(1,500)&amp;" "&amp;r_lname()&amp;" "&amp;r_choice($J$16:$J$21)</f>
        <v>266 Lugo Park</v>
      </c>
      <c r="G38" s="3" t="str">
        <f t="shared" ca="1" si="4"/>
        <v>692/126 2809</v>
      </c>
      <c r="J38" t="str">
        <f t="shared" ca="1" si="2"/>
        <v>insert into customer values ('C24', 'Ms. Lucius Ly', 'M', 'S', 'North West', '42 Donnelly Place', '699/971 8817');</v>
      </c>
    </row>
    <row r="39" spans="1:10" x14ac:dyDescent="0.15">
      <c r="A39" t="s">
        <v>4581</v>
      </c>
      <c r="B39" s="1" t="str">
        <f ca="1">IF(C39="F","Mr.","Ms.")&amp;" "&amp;IF(C39="F",r_fname_f(),r_fname_m())&amp;" "&amp;r_lname()</f>
        <v>Ms. Norman Schultz</v>
      </c>
      <c r="C39" s="4" t="str">
        <f ca="1">r_choice(Table172[Gender])</f>
        <v>M</v>
      </c>
      <c r="D39" s="3" t="str">
        <f ca="1">r_choice(Table11[ID])</f>
        <v>P</v>
      </c>
      <c r="E39" s="3" t="str">
        <f t="shared" ca="1" si="3"/>
        <v>North</v>
      </c>
      <c r="F39" s="3" t="str">
        <f ca="1">r_integer(1,500)&amp;" "&amp;r_lname()&amp;" "&amp;r_choice($J$16:$J$21)</f>
        <v>335 Brandon Park</v>
      </c>
      <c r="G39" s="3" t="str">
        <f t="shared" ca="1" si="4"/>
        <v>696/487 9573</v>
      </c>
      <c r="J39" t="str">
        <f t="shared" ca="1" si="2"/>
        <v>insert into customer values ('C25', 'Mr. Kacey Clay', 'F', 'P', 'South', '365 Proctor Square', '690/723 2192');</v>
      </c>
    </row>
    <row r="40" spans="1:10" x14ac:dyDescent="0.15">
      <c r="A40" t="s">
        <v>4590</v>
      </c>
      <c r="B40" s="1" t="str">
        <f ca="1">IF(C40="F","Mr.","Ms.")&amp;" "&amp;IF(C40="F",r_fname_f(),r_fname_m())&amp;" "&amp;r_lname()</f>
        <v>Ms. Frances Dean</v>
      </c>
      <c r="C40" s="4" t="str">
        <f ca="1">r_choice(Table172[Gender])</f>
        <v>M</v>
      </c>
      <c r="D40" s="3" t="str">
        <f ca="1">r_choice(Table11[ID])</f>
        <v>B</v>
      </c>
      <c r="E40" s="3" t="str">
        <f t="shared" ca="1" si="3"/>
        <v>South East</v>
      </c>
      <c r="F40" s="3" t="str">
        <f ca="1">r_integer(1,500)&amp;" "&amp;r_lname()&amp;" "&amp;r_choice($J$16:$J$21)</f>
        <v>406 Joseph Place</v>
      </c>
      <c r="G40" s="3" t="str">
        <f t="shared" ca="1" si="4"/>
        <v>697/558 5478</v>
      </c>
      <c r="J40" t="str">
        <f t="shared" ca="1" si="2"/>
        <v>insert into customer values ('C27', 'Ms. Mckinley Weller', 'M', 'G', 'South East', '307 Boucher Place', '699/924 3664');</v>
      </c>
    </row>
    <row r="41" spans="1:10" x14ac:dyDescent="0.15">
      <c r="A41" t="s">
        <v>4593</v>
      </c>
      <c r="B41" s="1" t="str">
        <f ca="1">IF(C41="F","Mr.","Ms.")&amp;" "&amp;IF(C41="F",r_fname_f(),r_fname_m())&amp;" "&amp;r_lname()</f>
        <v>Mr. Myrna Valenzuela</v>
      </c>
      <c r="C41" s="4" t="str">
        <f ca="1">r_choice(Table172[Gender])</f>
        <v>F</v>
      </c>
      <c r="D41" s="3" t="str">
        <f ca="1">r_choice(Table11[ID])</f>
        <v>B</v>
      </c>
      <c r="E41" s="3" t="str">
        <f t="shared" ca="1" si="3"/>
        <v>South</v>
      </c>
      <c r="F41" s="3" t="str">
        <f ca="1">r_integer(1,500)&amp;" "&amp;r_lname()&amp;" "&amp;r_choice($J$16:$J$21)</f>
        <v>236 Fairweather Lane</v>
      </c>
      <c r="G41" s="3" t="str">
        <f t="shared" ca="1" si="4"/>
        <v>698/203 5682</v>
      </c>
      <c r="J41" t="str">
        <f t="shared" ca="1" si="2"/>
        <v>insert into customer values ('C28', 'Mr. Penelope Landis', 'F', 'P', 'East', '411 Shepard Avenue', '692/819 3979');</v>
      </c>
    </row>
    <row r="42" spans="1:10" x14ac:dyDescent="0.15">
      <c r="A42" t="s">
        <v>4599</v>
      </c>
      <c r="B42" s="1" t="str">
        <f ca="1">IF(C42="F","Mr.","Ms.")&amp;" "&amp;IF(C42="F",r_fname_f(),r_fname_m())&amp;" "&amp;r_lname()</f>
        <v>Ms. Chuck Shannon</v>
      </c>
      <c r="C42" s="4" t="str">
        <f ca="1">r_choice(Table172[Gender])</f>
        <v>M</v>
      </c>
      <c r="D42" s="3" t="str">
        <f ca="1">r_choice(Table11[ID])</f>
        <v>B</v>
      </c>
      <c r="E42" s="3" t="str">
        <f t="shared" ca="1" si="3"/>
        <v>North East</v>
      </c>
      <c r="F42" s="3" t="str">
        <f ca="1">r_integer(1,500)&amp;" "&amp;r_lname()&amp;" "&amp;r_choice($J$16:$J$21)</f>
        <v>102 Stephenson Park</v>
      </c>
      <c r="G42" s="3" t="str">
        <f t="shared" ca="1" si="4"/>
        <v>699/946 7314</v>
      </c>
      <c r="J42" t="str">
        <f t="shared" ca="1" si="2"/>
        <v>insert into customer values ('C31', 'Ms. Milford Akyurek', 'M', 'G', 'North West', '115 Steele Place', '691/941 5100');</v>
      </c>
    </row>
    <row r="43" spans="1:10" x14ac:dyDescent="0.15">
      <c r="A43" t="s">
        <v>4600</v>
      </c>
      <c r="B43" s="4" t="str">
        <f ca="1">IF(C43="F","Mr.","Ms.")&amp;" "&amp;IF(C43="F",r_fname_f(),r_fname_m())&amp;" "&amp;r_lname()</f>
        <v>Mr. Nina Schaffer</v>
      </c>
      <c r="C43" s="4" t="str">
        <f ca="1">r_choice(Table172[Gender])</f>
        <v>F</v>
      </c>
      <c r="D43" s="3" t="str">
        <f ca="1">r_choice(Table11[ID])</f>
        <v>G</v>
      </c>
      <c r="E43" s="3" t="str">
        <f t="shared" ca="1" si="3"/>
        <v>North</v>
      </c>
      <c r="F43" s="3" t="str">
        <f ca="1">r_integer(1,500)&amp;" "&amp;r_lname()&amp;" "&amp;r_choice($J$16:$J$21)</f>
        <v>466 Devine Lane</v>
      </c>
      <c r="G43" s="3" t="str">
        <f t="shared" ca="1" si="4"/>
        <v>697/900 9168</v>
      </c>
      <c r="J43" t="str">
        <f t="shared" ca="1" si="2"/>
        <v>insert into customer values ('C33', 'Mr. Suzann Dominico', 'F', 'N', 'South West', '196 Beckham Lane', '694/931 5383');</v>
      </c>
    </row>
    <row r="44" spans="1:10" x14ac:dyDescent="0.15">
      <c r="A44" t="s">
        <v>4608</v>
      </c>
      <c r="B44" s="4" t="str">
        <f ca="1">IF(C44="F","Mr.","Ms.")&amp;" "&amp;IF(C44="F",r_fname_f(),r_fname_m())&amp;" "&amp;r_lname()</f>
        <v>Mr. Karolyn Stephens</v>
      </c>
      <c r="C44" s="4" t="str">
        <f ca="1">r_choice(Table172[Gender])</f>
        <v>F</v>
      </c>
      <c r="D44" s="3" t="str">
        <f ca="1">r_choice(Table11[ID])</f>
        <v>B</v>
      </c>
      <c r="E44" s="3" t="str">
        <f t="shared" ca="1" si="3"/>
        <v>North West</v>
      </c>
      <c r="F44" s="3" t="str">
        <f ca="1">r_integer(1,500)&amp;" "&amp;r_lname()&amp;" "&amp;r_choice($J$16:$J$21)</f>
        <v>282 Thomson Place</v>
      </c>
      <c r="G44" s="3" t="str">
        <f t="shared" ca="1" si="4"/>
        <v>699/238 6343</v>
      </c>
      <c r="J44" t="str">
        <f t="shared" ca="1" si="2"/>
        <v>insert into customer values ('C38', 'Ms. Daniel Rosado', 'M', 'G', 'East', '268 Finn Street', '694/803 9154');</v>
      </c>
    </row>
    <row r="45" spans="1:10" x14ac:dyDescent="0.15">
      <c r="A45" t="s">
        <v>4208</v>
      </c>
      <c r="B45" s="4" t="str">
        <f ca="1">IF(C45="F","Mr.","Ms.")&amp;" "&amp;IF(C45="F",r_fname_f(),r_fname_m())&amp;" "&amp;r_lname()</f>
        <v>Ms. Francisco Wilhelm</v>
      </c>
      <c r="C45" s="4" t="str">
        <f ca="1">r_choice(Table172[Gender])</f>
        <v>M</v>
      </c>
      <c r="D45" t="str">
        <f ca="1">r_choice(Table11[ID])</f>
        <v>P</v>
      </c>
      <c r="E45" t="str">
        <f t="shared" ca="1" si="3"/>
        <v>South East</v>
      </c>
      <c r="F45" t="str">
        <f ca="1">r_integer(1,500)&amp;" "&amp;r_lname()&amp;" "&amp;r_choice($J$16:$J$21)</f>
        <v>298 Britton Park</v>
      </c>
      <c r="G45" t="str">
        <f t="shared" ca="1" si="4"/>
        <v>695/517 8102</v>
      </c>
      <c r="J45" t="str">
        <f t="shared" ca="1" si="2"/>
        <v>insert into customer values ('C39', 'Ms. Gayle Douglas', 'M', 'B', 'South', '213 Shields Place', '695/367 5352');</v>
      </c>
    </row>
    <row r="46" spans="1:10" x14ac:dyDescent="0.15">
      <c r="A46" t="s">
        <v>4211</v>
      </c>
      <c r="B46" s="4" t="str">
        <f ca="1">IF(C46="F","Mr.","Ms.")&amp;" "&amp;IF(C46="F",r_fname_f(),r_fname_m())&amp;" "&amp;r_lname()</f>
        <v>Ms. Cordell Gregg</v>
      </c>
      <c r="C46" s="4" t="str">
        <f ca="1">r_choice(Table172[Gender])</f>
        <v>M</v>
      </c>
      <c r="D46" t="str">
        <f ca="1">r_choice(Table11[ID])</f>
        <v>S</v>
      </c>
      <c r="E46" t="str">
        <f t="shared" ca="1" si="3"/>
        <v>South</v>
      </c>
      <c r="F46" t="str">
        <f ca="1">r_integer(1,500)&amp;" "&amp;r_lname()&amp;" "&amp;r_choice($J$16:$J$21)</f>
        <v>367 Calvert Place</v>
      </c>
      <c r="G46" t="str">
        <f t="shared" ca="1" si="4"/>
        <v>697/347 4262</v>
      </c>
      <c r="J46" t="str">
        <f t="shared" ca="1" si="2"/>
        <v>insert into customer values ('C54', 'Ms. Eric Mcclellan', 'M', 'S', 'North', '229 Rainey Park', '692/605 8683');</v>
      </c>
    </row>
    <row r="47" spans="1:10" x14ac:dyDescent="0.15">
      <c r="A47" t="s">
        <v>4266</v>
      </c>
      <c r="B47" s="4" t="str">
        <f ca="1">IF(C47="F","Mr.","Ms.")&amp;" "&amp;IF(C47="F",r_fname_f(),r_fname_m())&amp;" "&amp;r_lname()</f>
        <v>Ms. Chris Larsen</v>
      </c>
      <c r="C47" s="4" t="str">
        <f ca="1">r_choice(Table172[Gender])</f>
        <v>M</v>
      </c>
      <c r="D47" t="str">
        <f ca="1">r_choice(Table11[ID])</f>
        <v>P</v>
      </c>
      <c r="E47" t="str">
        <f t="shared" ca="1" si="3"/>
        <v>South East</v>
      </c>
      <c r="F47" t="str">
        <f ca="1">r_integer(1,500)&amp;" "&amp;r_lname()&amp;" "&amp;r_choice($J$16:$J$21)</f>
        <v>289 Gabriel Park</v>
      </c>
      <c r="G47" t="str">
        <f t="shared" ca="1" si="4"/>
        <v>696/901 8752</v>
      </c>
      <c r="J47" t="str">
        <f t="shared" ca="1" si="2"/>
        <v>insert into customer values ('C56', 'Mr. Olene Engle', 'F', 'P', 'North West', '184 Jorgensen Park', '697/236 8910');</v>
      </c>
    </row>
    <row r="48" spans="1:10" x14ac:dyDescent="0.15">
      <c r="A48" t="s">
        <v>4271</v>
      </c>
      <c r="B48" s="4" t="str">
        <f ca="1">IF(C48="F","Mr.","Ms.")&amp;" "&amp;IF(C48="F",r_fname_f(),r_fname_m())&amp;" "&amp;r_lname()</f>
        <v>Ms. Miles Palmer</v>
      </c>
      <c r="C48" s="4" t="str">
        <f ca="1">r_choice(Table172[Gender])</f>
        <v>M</v>
      </c>
      <c r="D48" t="str">
        <f ca="1">r_choice(Table11[ID])</f>
        <v>P</v>
      </c>
      <c r="E48" t="str">
        <f t="shared" ca="1" si="3"/>
        <v>North West</v>
      </c>
      <c r="F48" t="str">
        <f ca="1">r_integer(1,500)&amp;" "&amp;r_lname()&amp;" "&amp;r_choice($J$16:$J$21)</f>
        <v>420 Lyons Street</v>
      </c>
      <c r="G48" t="str">
        <f t="shared" ca="1" si="4"/>
        <v>695/586 6890</v>
      </c>
      <c r="J48" t="str">
        <f t="shared" ca="1" si="2"/>
        <v>insert into customer values ('C63', 'Ms. Shane Queen', 'M', 'P', 'North West', '136 Leonards Square', '699/835 7941');</v>
      </c>
    </row>
    <row r="49" spans="1:10" x14ac:dyDescent="0.15">
      <c r="A49" t="s">
        <v>4272</v>
      </c>
      <c r="B49" s="4" t="str">
        <f ca="1">IF(C49="F","Mr.","Ms.")&amp;" "&amp;IF(C49="F",r_fname_f(),r_fname_m())&amp;" "&amp;r_lname()</f>
        <v>Mr. Malka Wittgenstein</v>
      </c>
      <c r="C49" s="4" t="str">
        <f ca="1">r_choice(Table172[Gender])</f>
        <v>F</v>
      </c>
      <c r="D49" t="str">
        <f ca="1">r_choice(Table11[ID])</f>
        <v>B</v>
      </c>
      <c r="E49" t="str">
        <f t="shared" ca="1" si="3"/>
        <v>North West</v>
      </c>
      <c r="F49" t="str">
        <f ca="1">r_integer(1,500)&amp;" "&amp;r_lname()&amp;" "&amp;r_choice($J$16:$J$21)</f>
        <v>102 Cartwright Park</v>
      </c>
      <c r="G49" t="str">
        <f t="shared" ca="1" si="4"/>
        <v>694/743 8670</v>
      </c>
      <c r="J49" t="str">
        <f t="shared" ca="1" si="2"/>
        <v>insert into customer values ('C73', 'Ms. Dash Kirchener', 'M', 'G', 'North', '242 Kinney Place', '693/412 8536');</v>
      </c>
    </row>
    <row r="50" spans="1:10" x14ac:dyDescent="0.15">
      <c r="A50" t="s">
        <v>4555</v>
      </c>
      <c r="B50" s="4" t="str">
        <f ca="1">IF(C50="F","Mr.","Ms.")&amp;" "&amp;IF(C50="F",r_fname_f(),r_fname_m())&amp;" "&amp;r_lname()</f>
        <v>Ms. Reid Macias</v>
      </c>
      <c r="C50" s="4" t="str">
        <f ca="1">r_choice(Table172[Gender])</f>
        <v>M</v>
      </c>
      <c r="D50" s="3" t="str">
        <f ca="1">r_choice(Table11[ID])</f>
        <v>B</v>
      </c>
      <c r="E50" s="3" t="str">
        <f t="shared" ca="1" si="3"/>
        <v>North East</v>
      </c>
      <c r="F50" s="3" t="str">
        <f ca="1">r_integer(1,500)&amp;" "&amp;r_lname()&amp;" "&amp;r_choice($J$16:$J$21)</f>
        <v>189 Hankins Lane</v>
      </c>
      <c r="G50" s="3" t="str">
        <f t="shared" ca="1" si="4"/>
        <v>697/310 1968</v>
      </c>
      <c r="J50" t="str">
        <f t="shared" ca="1" si="2"/>
        <v>insert into customer values ('C75', 'Mr. Tammara Martin', 'F', 'S', 'South West', '397 Mclean Park', '696/875 4505');</v>
      </c>
    </row>
    <row r="51" spans="1:10" x14ac:dyDescent="0.15">
      <c r="A51" t="s">
        <v>4561</v>
      </c>
      <c r="B51" s="4" t="str">
        <f ca="1">IF(C51="F","Mr.","Ms.")&amp;" "&amp;IF(C51="F",r_fname_f(),r_fname_m())&amp;" "&amp;r_lname()</f>
        <v>Mr. Sanjuanita Whalen</v>
      </c>
      <c r="C51" s="4" t="str">
        <f ca="1">r_choice(Table172[Gender])</f>
        <v>F</v>
      </c>
      <c r="D51" s="3" t="str">
        <f ca="1">r_choice(Table11[ID])</f>
        <v>B</v>
      </c>
      <c r="E51" s="3" t="str">
        <f t="shared" ca="1" si="3"/>
        <v>North West</v>
      </c>
      <c r="F51" s="3" t="str">
        <f ca="1">r_integer(1,500)&amp;" "&amp;r_lname()&amp;" "&amp;r_choice($J$16:$J$21)</f>
        <v>469 Wager Street</v>
      </c>
      <c r="G51" s="3" t="str">
        <f t="shared" ca="1" si="4"/>
        <v>698/441 6666</v>
      </c>
      <c r="J51" t="str">
        <f t="shared" ca="1" si="2"/>
        <v>insert into customer values ('C79', 'Mr. Harriet Bergeron', 'F', 'S', 'South', '328 Soriano Place', '696/331 4609');</v>
      </c>
    </row>
    <row r="52" spans="1:10" x14ac:dyDescent="0.15">
      <c r="A52" t="s">
        <v>4570</v>
      </c>
      <c r="B52" s="4" t="str">
        <f ca="1">IF(C52="F","Mr.","Ms.")&amp;" "&amp;IF(C52="F",r_fname_f(),r_fname_m())&amp;" "&amp;r_lname()</f>
        <v>Mr. Liza Santiago</v>
      </c>
      <c r="C52" s="4" t="str">
        <f ca="1">r_choice(Table172[Gender])</f>
        <v>F</v>
      </c>
      <c r="D52" s="3" t="str">
        <f ca="1">r_choice(Table11[ID])</f>
        <v>G</v>
      </c>
      <c r="E52" s="3" t="str">
        <f t="shared" ca="1" si="3"/>
        <v>East</v>
      </c>
      <c r="F52" s="3" t="str">
        <f ca="1">r_integer(1,500)&amp;" "&amp;r_lname()&amp;" "&amp;r_choice($J$16:$J$21)</f>
        <v>347 Vu Street</v>
      </c>
      <c r="G52" s="3" t="str">
        <f t="shared" ca="1" si="4"/>
        <v>692/253 9858</v>
      </c>
      <c r="J52" t="str">
        <f t="shared" ca="1" si="2"/>
        <v>insert into customer values ('C88', 'Mr. Melodie Cooley', 'F', 'P', 'East', '206 Gallagher Avenue', '695/698 5664');</v>
      </c>
    </row>
    <row r="53" spans="1:10" x14ac:dyDescent="0.15">
      <c r="A53" t="s">
        <v>4578</v>
      </c>
      <c r="B53" s="4" t="str">
        <f ca="1">IF(C53="F","Mr.","Ms.")&amp;" "&amp;IF(C53="F",r_fname_f(),r_fname_m())&amp;" "&amp;r_lname()</f>
        <v>Mr. Brooke Mammet</v>
      </c>
      <c r="C53" s="4" t="str">
        <f ca="1">r_choice(Table172[Gender])</f>
        <v>F</v>
      </c>
      <c r="D53" s="3" t="str">
        <f ca="1">r_choice(Table11[ID])</f>
        <v>G</v>
      </c>
      <c r="E53" s="3" t="str">
        <f t="shared" ca="1" si="3"/>
        <v>North East</v>
      </c>
      <c r="F53" s="3" t="str">
        <f ca="1">r_integer(1,500)&amp;" "&amp;r_lname()&amp;" "&amp;r_choice($J$16:$J$21)</f>
        <v>354 Sherman Square</v>
      </c>
      <c r="G53" s="3" t="str">
        <f t="shared" ca="1" si="4"/>
        <v>695/570 6574</v>
      </c>
      <c r="J53" t="str">
        <f t="shared" ca="1" si="2"/>
        <v>insert into customer values ('C92', 'Mr. Cierra Bradford', 'F', 'G', 'South', '347 Rudolph Avenue', '697/340 1802');</v>
      </c>
    </row>
    <row r="54" spans="1:10" x14ac:dyDescent="0.15">
      <c r="A54" t="s">
        <v>4584</v>
      </c>
      <c r="B54" s="4" t="str">
        <f ca="1">IF(C54="F","Mr.","Ms.")&amp;" "&amp;IF(C54="F",r_fname_f(),r_fname_m())&amp;" "&amp;r_lname()</f>
        <v>Ms. Joel Denny</v>
      </c>
      <c r="C54" s="4" t="str">
        <f ca="1">r_choice(Table172[Gender])</f>
        <v>M</v>
      </c>
      <c r="D54" s="3" t="str">
        <f ca="1">r_choice(Table11[ID])</f>
        <v>B</v>
      </c>
      <c r="E54" s="3" t="str">
        <f t="shared" ca="1" si="3"/>
        <v>South</v>
      </c>
      <c r="F54" s="3" t="str">
        <f ca="1">r_integer(1,500)&amp;" "&amp;r_lname()&amp;" "&amp;r_choice($J$16:$J$21)</f>
        <v>35 Burnes Place</v>
      </c>
      <c r="G54" s="3" t="str">
        <f t="shared" ca="1" si="4"/>
        <v>693/308 3028</v>
      </c>
      <c r="J54" t="str">
        <f t="shared" ca="1" si="2"/>
        <v>insert into customer values ('C98', 'Mr. Marcelene Elliott', 'F', 'N', 'North', '179 Castillo Street', '694/501 8135');</v>
      </c>
    </row>
    <row r="55" spans="1:10" x14ac:dyDescent="0.15">
      <c r="A55" t="s">
        <v>4587</v>
      </c>
      <c r="B55" s="4" t="str">
        <f ca="1">IF(C55="F","Mr.","Ms.")&amp;" "&amp;IF(C55="F",r_fname_f(),r_fname_m())&amp;" "&amp;r_lname()</f>
        <v>Mr. Sanda Xenakis</v>
      </c>
      <c r="C55" s="4" t="str">
        <f ca="1">r_choice(Table172[Gender])</f>
        <v>F</v>
      </c>
      <c r="D55" s="3" t="str">
        <f ca="1">r_choice(Table11[ID])</f>
        <v>S</v>
      </c>
      <c r="E55" s="3" t="str">
        <f t="shared" ca="1" si="3"/>
        <v>East</v>
      </c>
      <c r="F55" s="3" t="str">
        <f ca="1">r_integer(1,500)&amp;" "&amp;r_lname()&amp;" "&amp;r_choice($J$16:$J$21)</f>
        <v>385 Lee Place</v>
      </c>
      <c r="G55" s="3" t="str">
        <f t="shared" ca="1" si="4"/>
        <v>696/523 2131</v>
      </c>
      <c r="J55" t="str">
        <f t="shared" ca="1" si="2"/>
        <v>insert into customer values ('C03', 'Mr. Alesha Palacios', 'F', 'N', 'South West', '27 Stroud Place', '698/169 3074');</v>
      </c>
    </row>
    <row r="56" spans="1:10" x14ac:dyDescent="0.15">
      <c r="A56" t="s">
        <v>4597</v>
      </c>
      <c r="B56" s="4" t="str">
        <f ca="1">IF(C56="F","Mr.","Ms.")&amp;" "&amp;IF(C56="F",r_fname_f(),r_fname_m())&amp;" "&amp;r_lname()</f>
        <v>Mr. Cierra Mayfield</v>
      </c>
      <c r="C56" s="4" t="str">
        <f ca="1">r_choice(Table172[Gender])</f>
        <v>F</v>
      </c>
      <c r="D56" s="3" t="str">
        <f ca="1">r_choice(Table11[ID])</f>
        <v>S</v>
      </c>
      <c r="E56" s="3" t="str">
        <f t="shared" ca="1" si="3"/>
        <v>North East</v>
      </c>
      <c r="F56" s="3" t="str">
        <f ca="1">r_integer(1,500)&amp;" "&amp;r_lname()&amp;" "&amp;r_choice($J$16:$J$21)</f>
        <v>158 Rubic Lane</v>
      </c>
      <c r="G56" s="3" t="str">
        <f t="shared" ca="1" si="4"/>
        <v>699/761 9177</v>
      </c>
      <c r="J56" t="str">
        <f t="shared" ca="1" si="2"/>
        <v>insert into customer values ('C09', 'Ms. Donny Melendez', 'M', 'B', 'North West', '175 Paredes Place', '694/326 2896');</v>
      </c>
    </row>
    <row r="57" spans="1:10" x14ac:dyDescent="0.15">
      <c r="A57" t="s">
        <v>4598</v>
      </c>
      <c r="B57" s="4" t="str">
        <f ca="1">IF(C57="F","Mr.","Ms.")&amp;" "&amp;IF(C57="F",r_fname_f(),r_fname_m())&amp;" "&amp;r_lname()</f>
        <v>Ms. Bobby Boggs</v>
      </c>
      <c r="C57" s="4" t="str">
        <f ca="1">r_choice(Table172[Gender])</f>
        <v>M</v>
      </c>
      <c r="D57" s="3" t="str">
        <f ca="1">r_choice(Table11[ID])</f>
        <v>G</v>
      </c>
      <c r="E57" s="3" t="str">
        <f t="shared" ca="1" si="3"/>
        <v>South West</v>
      </c>
      <c r="F57" s="3" t="str">
        <f ca="1">r_integer(1,500)&amp;" "&amp;r_lname()&amp;" "&amp;r_choice($J$16:$J$21)</f>
        <v>20 Grady Avenue</v>
      </c>
      <c r="G57" s="3" t="str">
        <f t="shared" ca="1" si="4"/>
        <v>698/800 7132</v>
      </c>
      <c r="J57" t="str">
        <f t="shared" ca="1" si="2"/>
        <v>insert into customer values ('C10', 'Mr. Mitsuko Velez', 'F', 'G', 'South West', '280 Shields Park', '698/383 2290');</v>
      </c>
    </row>
    <row r="58" spans="1:10" x14ac:dyDescent="0.15">
      <c r="A58" t="s">
        <v>4613</v>
      </c>
      <c r="B58" s="4" t="str">
        <f ca="1">IF(C58="F","Mr.","Ms.")&amp;" "&amp;IF(C58="F",r_fname_f(),r_fname_m())&amp;" "&amp;r_lname()</f>
        <v>Mr. Isabelle Guinsburg</v>
      </c>
      <c r="C58" s="4" t="str">
        <f ca="1">r_choice(Table172[Gender])</f>
        <v>F</v>
      </c>
      <c r="D58" s="3" t="str">
        <f ca="1">r_choice(Table11[ID])</f>
        <v>P</v>
      </c>
      <c r="E58" s="3" t="str">
        <f t="shared" ca="1" si="3"/>
        <v>North East</v>
      </c>
      <c r="F58" s="3" t="str">
        <f ca="1">r_integer(1,500)&amp;" "&amp;r_lname()&amp;" "&amp;r_choice($J$16:$J$21)</f>
        <v>3 Mansfield Place</v>
      </c>
      <c r="G58" s="3" t="str">
        <f t="shared" ca="1" si="4"/>
        <v>692/502 1533</v>
      </c>
      <c r="J58" t="str">
        <f t="shared" ca="1" si="2"/>
        <v>insert into customer values ('C13', 'Ms. Josue Benavides', 'M', 'P', 'South East', '144 Shapiro Place', '698/728 3532');</v>
      </c>
    </row>
    <row r="59" spans="1:10" x14ac:dyDescent="0.15">
      <c r="A59" t="s">
        <v>4206</v>
      </c>
      <c r="B59" s="4" t="str">
        <f ca="1">IF(C59="F","Mr.","Ms.")&amp;" "&amp;IF(C59="F",r_fname_f(),r_fname_m())&amp;" "&amp;r_lname()</f>
        <v>Mr. Emmy Colmer</v>
      </c>
      <c r="C59" s="4" t="str">
        <f ca="1">r_choice(Table172[Gender])</f>
        <v>F</v>
      </c>
      <c r="D59" t="str">
        <f ca="1">r_choice(Table11[ID])</f>
        <v>S</v>
      </c>
      <c r="E59" t="str">
        <f t="shared" ca="1" si="3"/>
        <v>North East</v>
      </c>
      <c r="F59" t="str">
        <f ca="1">r_integer(1,500)&amp;" "&amp;r_lname()&amp;" "&amp;r_choice($J$16:$J$21)</f>
        <v>453 Brooks Avenue</v>
      </c>
      <c r="G59" t="str">
        <f t="shared" ca="1" si="4"/>
        <v>699/255 9124</v>
      </c>
      <c r="J59" t="str">
        <f t="shared" ca="1" si="2"/>
        <v>insert into customer values ('C17', 'Mr. Christeen Banach', 'F', 'B', 'South West', '42 Mandelbrot Avenue', '698/409 1493');</v>
      </c>
    </row>
    <row r="60" spans="1:10" x14ac:dyDescent="0.15">
      <c r="A60" t="s">
        <v>4214</v>
      </c>
      <c r="B60" s="4" t="str">
        <f ca="1">IF(C60="F","Mr.","Ms.")&amp;" "&amp;IF(C60="F",r_fname_f(),r_fname_m())&amp;" "&amp;r_lname()</f>
        <v>Ms. Emory Kline</v>
      </c>
      <c r="C60" s="4" t="str">
        <f ca="1">r_choice(Table172[Gender])</f>
        <v>M</v>
      </c>
      <c r="D60" t="str">
        <f ca="1">r_choice(Table11[ID])</f>
        <v>B</v>
      </c>
      <c r="E60" t="str">
        <f t="shared" ca="1" si="3"/>
        <v>North West</v>
      </c>
      <c r="F60" t="str">
        <f ca="1">r_integer(1,500)&amp;" "&amp;r_lname()&amp;" "&amp;r_choice($J$16:$J$21)</f>
        <v>405 Benson Street</v>
      </c>
      <c r="G60" t="str">
        <f t="shared" ca="1" si="4"/>
        <v>694/763 1094</v>
      </c>
      <c r="J60" t="str">
        <f t="shared" ca="1" si="2"/>
        <v>insert into customer values ('C23', 'Mr. Blanch Bates', 'F', 'P', 'East', '45 Burrell Park', '697/748 5025');</v>
      </c>
    </row>
    <row r="61" spans="1:10" x14ac:dyDescent="0.15">
      <c r="A61" t="s">
        <v>4218</v>
      </c>
      <c r="B61" s="4" t="str">
        <f ca="1">IF(C61="F","Mr.","Ms.")&amp;" "&amp;IF(C61="F",r_fname_f(),r_fname_m())&amp;" "&amp;r_lname()</f>
        <v>Ms. Igor Driscoll</v>
      </c>
      <c r="C61" s="4" t="str">
        <f ca="1">r_choice(Table172[Gender])</f>
        <v>M</v>
      </c>
      <c r="D61" t="str">
        <f ca="1">r_choice(Table11[ID])</f>
        <v>S</v>
      </c>
      <c r="E61" t="str">
        <f t="shared" ca="1" si="3"/>
        <v>South West</v>
      </c>
      <c r="F61" t="str">
        <f ca="1">r_integer(1,500)&amp;" "&amp;r_lname()&amp;" "&amp;r_choice($J$16:$J$21)</f>
        <v>417 Benedict Avenue</v>
      </c>
      <c r="G61" t="str">
        <f t="shared" ca="1" si="4"/>
        <v>690/870 5831</v>
      </c>
      <c r="J61" t="str">
        <f t="shared" ca="1" si="2"/>
        <v>insert into customer values ('C29', 'Ms. Noel Clay', 'M', 'G', 'North West', '200 Hyatt Place', '693/914 5253');</v>
      </c>
    </row>
    <row r="62" spans="1:10" x14ac:dyDescent="0.15">
      <c r="A62" t="s">
        <v>4219</v>
      </c>
      <c r="B62" s="4" t="str">
        <f ca="1">IF(C62="F","Mr.","Ms.")&amp;" "&amp;IF(C62="F",r_fname_f(),r_fname_m())&amp;" "&amp;r_lname()</f>
        <v>Ms. Leigh Cardenas</v>
      </c>
      <c r="C62" s="4" t="str">
        <f ca="1">r_choice(Table172[Gender])</f>
        <v>M</v>
      </c>
      <c r="D62" t="str">
        <f ca="1">r_choice(Table11[ID])</f>
        <v>S</v>
      </c>
      <c r="E62" t="str">
        <f t="shared" ca="1" si="3"/>
        <v>South West</v>
      </c>
      <c r="F62" t="str">
        <f ca="1">r_integer(1,500)&amp;" "&amp;r_lname()&amp;" "&amp;r_choice($J$16:$J$21)</f>
        <v>163 Savage Park</v>
      </c>
      <c r="G62" t="str">
        <f t="shared" ca="1" si="4"/>
        <v>692/137 6144</v>
      </c>
      <c r="J62" t="str">
        <f t="shared" ca="1" si="2"/>
        <v>insert into customer values ('C34', 'Ms. Morris Cubrik', 'M', 'B', 'South East', '283 Elder Street', '690/607 8301');</v>
      </c>
    </row>
    <row r="63" spans="1:10" x14ac:dyDescent="0.15">
      <c r="A63" t="s">
        <v>4258</v>
      </c>
      <c r="B63" s="4" t="str">
        <f ca="1">IF(C63="F","Mr.","Ms.")&amp;" "&amp;IF(C63="F",r_fname_f(),r_fname_m())&amp;" "&amp;r_lname()</f>
        <v>Ms. Felipe Flaherty</v>
      </c>
      <c r="C63" s="4" t="str">
        <f ca="1">r_choice(Table172[Gender])</f>
        <v>M</v>
      </c>
      <c r="D63" t="str">
        <f ca="1">r_choice(Table11[ID])</f>
        <v>S</v>
      </c>
      <c r="E63" t="str">
        <f t="shared" ca="1" si="3"/>
        <v>East</v>
      </c>
      <c r="F63" t="str">
        <f ca="1">r_integer(1,500)&amp;" "&amp;r_lname()&amp;" "&amp;r_choice($J$16:$J$21)</f>
        <v>110 Hess Street</v>
      </c>
      <c r="G63" t="str">
        <f t="shared" ca="1" si="4"/>
        <v>690/333 4676</v>
      </c>
      <c r="J63" t="str">
        <f t="shared" ca="1" si="2"/>
        <v>insert into customer values ('C41', 'Mr. Marry Mayo', 'F', 'P', 'South East', '188 Broussard Lane', '697/722 7042');</v>
      </c>
    </row>
    <row r="64" spans="1:10" x14ac:dyDescent="0.15">
      <c r="A64" t="s">
        <v>4262</v>
      </c>
      <c r="B64" s="4" t="str">
        <f ca="1">IF(C64="F","Mr.","Ms.")&amp;" "&amp;IF(C64="F",r_fname_f(),r_fname_m())&amp;" "&amp;r_lname()</f>
        <v>Mr. Phylis Woody</v>
      </c>
      <c r="C64" s="4" t="str">
        <f ca="1">r_choice(Table172[Gender])</f>
        <v>F</v>
      </c>
      <c r="D64" t="str">
        <f ca="1">r_choice(Table11[ID])</f>
        <v>S</v>
      </c>
      <c r="E64" t="str">
        <f t="shared" ca="1" si="3"/>
        <v>South</v>
      </c>
      <c r="F64" t="str">
        <f ca="1">r_integer(1,500)&amp;" "&amp;r_lname()&amp;" "&amp;r_choice($J$16:$J$21)</f>
        <v>118 Bowles Avenue</v>
      </c>
      <c r="G64" t="str">
        <f t="shared" ca="1" si="4"/>
        <v>696/805 9759</v>
      </c>
      <c r="J64" t="str">
        <f t="shared" ca="1" si="2"/>
        <v>insert into customer values ('C45', 'Ms. Phil Werner', 'M', 'G', 'North West', '388 Carlton Avenue', '697/751 8070');</v>
      </c>
    </row>
    <row r="65" spans="1:10" x14ac:dyDescent="0.15">
      <c r="A65" t="s">
        <v>4268</v>
      </c>
      <c r="B65" s="4" t="str">
        <f ca="1">IF(C65="F","Mr.","Ms.")&amp;" "&amp;IF(C65="F",r_fname_f(),r_fname_m())&amp;" "&amp;r_lname()</f>
        <v>Mr. Solange Sachs</v>
      </c>
      <c r="C65" s="4" t="str">
        <f ca="1">r_choice(Table172[Gender])</f>
        <v>F</v>
      </c>
      <c r="D65" t="str">
        <f ca="1">r_choice(Table11[ID])</f>
        <v>N</v>
      </c>
      <c r="E65" t="str">
        <f t="shared" ca="1" si="3"/>
        <v>North</v>
      </c>
      <c r="F65" t="str">
        <f ca="1">r_integer(1,500)&amp;" "&amp;r_lname()&amp;" "&amp;r_choice($J$16:$J$21)</f>
        <v>178 Foley Street</v>
      </c>
      <c r="G65" t="str">
        <f t="shared" ca="1" si="4"/>
        <v>692/121 5966</v>
      </c>
      <c r="J65" t="str">
        <f t="shared" ref="J65:J96" ca="1" si="5">insertinto(A34:G34,$J$26:$K$32,"customer")</f>
        <v>insert into customer values ('C47', 'Mr. Marvis Caskill', 'F', 'S', 'South', '294 Griffin Lane', '698/419 1707');</v>
      </c>
    </row>
    <row r="66" spans="1:10" x14ac:dyDescent="0.15">
      <c r="A66" t="s">
        <v>4548</v>
      </c>
      <c r="B66" s="4" t="str">
        <f ca="1">IF(C66="F","Mr.","Ms.")&amp;" "&amp;IF(C66="F",r_fname_f(),r_fname_m())&amp;" "&amp;r_lname()</f>
        <v>Mr. Sabrina Chase</v>
      </c>
      <c r="C66" s="4" t="str">
        <f ca="1">r_choice(Table172[Gender])</f>
        <v>F</v>
      </c>
      <c r="D66" s="3" t="str">
        <f ca="1">r_choice(Table11[ID])</f>
        <v>S</v>
      </c>
      <c r="E66" s="3" t="str">
        <f t="shared" ref="E66:E101" ca="1" si="6">r_choice($J$4:$J$11)</f>
        <v>East</v>
      </c>
      <c r="F66" s="3" t="str">
        <f ca="1">r_integer(1,500)&amp;" "&amp;r_lname()&amp;" "&amp;r_choice($J$16:$J$21)</f>
        <v>337 Kimsey Square</v>
      </c>
      <c r="G66" s="3" t="str">
        <f t="shared" ref="G66:G101" ca="1" si="7">r_integer(690,699) &amp; "/" &amp; r_integer(100,999) &amp; " " &amp; r_integer(1000,9999)</f>
        <v>690/817 7983</v>
      </c>
      <c r="J66" t="str">
        <f t="shared" ca="1" si="5"/>
        <v>insert into customer values ('C51', 'Mr. Britney Capps', 'F', 'P', 'West', '415 Coreolano Street', '693/416 2146');</v>
      </c>
    </row>
    <row r="67" spans="1:10" x14ac:dyDescent="0.15">
      <c r="A67" t="s">
        <v>4559</v>
      </c>
      <c r="B67" s="4" t="str">
        <f ca="1">IF(C67="F","Mr.","Ms.")&amp;" "&amp;IF(C67="F",r_fname_f(),r_fname_m())&amp;" "&amp;r_lname()</f>
        <v>Ms. Fidelio Lujan</v>
      </c>
      <c r="C67" s="4" t="str">
        <f ca="1">r_choice(Table172[Gender])</f>
        <v>M</v>
      </c>
      <c r="D67" s="3" t="str">
        <f ca="1">r_choice(Table11[ID])</f>
        <v>S</v>
      </c>
      <c r="E67" s="3" t="str">
        <f t="shared" ca="1" si="6"/>
        <v>North East</v>
      </c>
      <c r="F67" s="3" t="str">
        <f ca="1">r_integer(1,500)&amp;" "&amp;r_lname()&amp;" "&amp;r_choice($J$16:$J$21)</f>
        <v>209 Suslov Park</v>
      </c>
      <c r="G67" s="3" t="str">
        <f t="shared" ca="1" si="7"/>
        <v>695/198 5662</v>
      </c>
      <c r="J67" t="str">
        <f t="shared" ca="1" si="5"/>
        <v>insert into customer values ('C53', 'Mr. Alie Pugh', 'F', 'S', 'East', '188 Youngblood Lane', '693/274 1013');</v>
      </c>
    </row>
    <row r="68" spans="1:10" x14ac:dyDescent="0.15">
      <c r="A68" t="s">
        <v>4563</v>
      </c>
      <c r="B68" s="4" t="str">
        <f ca="1">IF(C68="F","Mr.","Ms.")&amp;" "&amp;IF(C68="F",r_fname_f(),r_fname_m())&amp;" "&amp;r_lname()</f>
        <v>Mr. Lai Cummings</v>
      </c>
      <c r="C68" s="4" t="str">
        <f ca="1">r_choice(Table172[Gender])</f>
        <v>F</v>
      </c>
      <c r="D68" s="3" t="str">
        <f ca="1">r_choice(Table11[ID])</f>
        <v>N</v>
      </c>
      <c r="E68" s="3" t="str">
        <f t="shared" ca="1" si="6"/>
        <v>North East</v>
      </c>
      <c r="F68" s="3" t="str">
        <f ca="1">r_integer(1,500)&amp;" "&amp;r_lname()&amp;" "&amp;r_choice($J$16:$J$21)</f>
        <v>305 Thornton Square</v>
      </c>
      <c r="G68" s="3" t="str">
        <f t="shared" ca="1" si="7"/>
        <v>698/112 4034</v>
      </c>
      <c r="J68" t="str">
        <f t="shared" ca="1" si="5"/>
        <v>insert into customer values ('C61', 'Ms. Laurence Olivares', 'M', 'G', 'East', '318 Soriano Square', '697/227 2829');</v>
      </c>
    </row>
    <row r="69" spans="1:10" x14ac:dyDescent="0.15">
      <c r="A69" t="s">
        <v>4565</v>
      </c>
      <c r="B69" s="4" t="str">
        <f ca="1">IF(C69="F","Mr.","Ms.")&amp;" "&amp;IF(C69="F",r_fname_f(),r_fname_m())&amp;" "&amp;r_lname()</f>
        <v>Ms. Frances Ervin</v>
      </c>
      <c r="C69" s="4" t="str">
        <f ca="1">r_choice(Table172[Gender])</f>
        <v>M</v>
      </c>
      <c r="D69" s="3" t="str">
        <f ca="1">r_choice(Table11[ID])</f>
        <v>N</v>
      </c>
      <c r="E69" s="3" t="str">
        <f t="shared" ca="1" si="6"/>
        <v>South West</v>
      </c>
      <c r="F69" s="3" t="str">
        <f ca="1">r_integer(1,500)&amp;" "&amp;r_lname()&amp;" "&amp;r_choice($J$16:$J$21)</f>
        <v>334 Stacy Place</v>
      </c>
      <c r="G69" s="3" t="str">
        <f t="shared" ca="1" si="7"/>
        <v>692/417 1616</v>
      </c>
      <c r="J69" t="str">
        <f t="shared" ca="1" si="5"/>
        <v>insert into customer values ('C62', 'Mr. Merry Barnes', 'F', 'N', 'East', '266 Lugo Park', '692/126 2809');</v>
      </c>
    </row>
    <row r="70" spans="1:10" x14ac:dyDescent="0.15">
      <c r="A70" t="s">
        <v>4572</v>
      </c>
      <c r="B70" s="4" t="str">
        <f ca="1">IF(C70="F","Mr.","Ms.")&amp;" "&amp;IF(C70="F",r_fname_f(),r_fname_m())&amp;" "&amp;r_lname()</f>
        <v>Mr. Annabell Cook</v>
      </c>
      <c r="C70" s="4" t="str">
        <f ca="1">r_choice(Table172[Gender])</f>
        <v>F</v>
      </c>
      <c r="D70" s="3" t="str">
        <f ca="1">r_choice(Table11[ID])</f>
        <v>N</v>
      </c>
      <c r="E70" s="3" t="str">
        <f t="shared" ca="1" si="6"/>
        <v>South East</v>
      </c>
      <c r="F70" s="3" t="str">
        <f ca="1">r_integer(1,500)&amp;" "&amp;r_lname()&amp;" "&amp;r_choice($J$16:$J$21)</f>
        <v>439 Frank Square</v>
      </c>
      <c r="G70" s="3" t="str">
        <f t="shared" ca="1" si="7"/>
        <v>697/698 2710</v>
      </c>
      <c r="J70" t="str">
        <f t="shared" ca="1" si="5"/>
        <v>insert into customer values ('C68', 'Ms. Norman Schultz', 'M', 'P', 'North', '335 Brandon Park', '696/487 9573');</v>
      </c>
    </row>
    <row r="71" spans="1:10" x14ac:dyDescent="0.15">
      <c r="A71" t="s">
        <v>4577</v>
      </c>
      <c r="B71" s="4" t="str">
        <f ca="1">IF(C71="F","Mr.","Ms.")&amp;" "&amp;IF(C71="F",r_fname_f(),r_fname_m())&amp;" "&amp;r_lname()</f>
        <v>Mr. Meagan Hahnemann</v>
      </c>
      <c r="C71" s="4" t="str">
        <f ca="1">r_choice(Table172[Gender])</f>
        <v>F</v>
      </c>
      <c r="D71" s="3" t="str">
        <f ca="1">r_choice(Table11[ID])</f>
        <v>B</v>
      </c>
      <c r="E71" s="3" t="str">
        <f t="shared" ca="1" si="6"/>
        <v>North</v>
      </c>
      <c r="F71" s="3" t="str">
        <f ca="1">r_integer(1,500)&amp;" "&amp;r_lname()&amp;" "&amp;r_choice($J$16:$J$21)</f>
        <v>89 Rasmussen Square</v>
      </c>
      <c r="G71" s="3" t="str">
        <f t="shared" ca="1" si="7"/>
        <v>698/796 9237</v>
      </c>
      <c r="J71" t="str">
        <f t="shared" ca="1" si="5"/>
        <v>insert into customer values ('C77', 'Ms. Frances Dean', 'M', 'B', 'South East', '406 Joseph Place', '697/558 5478');</v>
      </c>
    </row>
    <row r="72" spans="1:10" x14ac:dyDescent="0.15">
      <c r="A72" t="s">
        <v>4579</v>
      </c>
      <c r="B72" s="4" t="str">
        <f ca="1">IF(C72="F","Mr.","Ms.")&amp;" "&amp;IF(C72="F",r_fname_f(),r_fname_m())&amp;" "&amp;r_lname()</f>
        <v>Ms. Wesley Davies</v>
      </c>
      <c r="C72" s="4" t="str">
        <f ca="1">r_choice(Table172[Gender])</f>
        <v>M</v>
      </c>
      <c r="D72" s="3" t="str">
        <f ca="1">r_choice(Table11[ID])</f>
        <v>S</v>
      </c>
      <c r="E72" s="3" t="str">
        <f t="shared" ca="1" si="6"/>
        <v>South East</v>
      </c>
      <c r="F72" s="3" t="str">
        <f ca="1">r_integer(1,500)&amp;" "&amp;r_lname()&amp;" "&amp;r_choice($J$16:$J$21)</f>
        <v>124 Saenz Square</v>
      </c>
      <c r="G72" s="3" t="str">
        <f t="shared" ca="1" si="7"/>
        <v>693/147 7802</v>
      </c>
      <c r="J72" t="str">
        <f t="shared" ca="1" si="5"/>
        <v>insert into customer values ('C80', 'Mr. Myrna Valenzuela', 'F', 'B', 'South', '236 Fairweather Lane', '698/203 5682');</v>
      </c>
    </row>
    <row r="73" spans="1:10" x14ac:dyDescent="0.15">
      <c r="A73" t="s">
        <v>4582</v>
      </c>
      <c r="B73" s="4" t="str">
        <f ca="1">IF(C73="F","Mr.","Ms.")&amp;" "&amp;IF(C73="F",r_fname_f(),r_fname_m())&amp;" "&amp;r_lname()</f>
        <v>Mr. Lilian Gamez</v>
      </c>
      <c r="C73" s="4" t="str">
        <f ca="1">r_choice(Table172[Gender])</f>
        <v>F</v>
      </c>
      <c r="D73" s="3" t="str">
        <f ca="1">r_choice(Table11[ID])</f>
        <v>N</v>
      </c>
      <c r="E73" s="3" t="str">
        <f t="shared" ca="1" si="6"/>
        <v>North East</v>
      </c>
      <c r="F73" s="3" t="str">
        <f ca="1">r_integer(1,500)&amp;" "&amp;r_lname()&amp;" "&amp;r_choice($J$16:$J$21)</f>
        <v>88 Wooten Park</v>
      </c>
      <c r="G73" s="3" t="str">
        <f t="shared" ca="1" si="7"/>
        <v>690/339 8221</v>
      </c>
      <c r="J73" t="str">
        <f t="shared" ca="1" si="5"/>
        <v>insert into customer values ('C86', 'Ms. Chuck Shannon', 'M', 'B', 'North East', '102 Stephenson Park', '699/946 7314');</v>
      </c>
    </row>
    <row r="74" spans="1:10" x14ac:dyDescent="0.15">
      <c r="A74" t="s">
        <v>4594</v>
      </c>
      <c r="B74" s="4" t="str">
        <f ca="1">IF(C74="F","Mr.","Ms.")&amp;" "&amp;IF(C74="F",r_fname_f(),r_fname_m())&amp;" "&amp;r_lname()</f>
        <v>Mr. Karren Longworth</v>
      </c>
      <c r="C74" s="4" t="str">
        <f ca="1">r_choice(Table172[Gender])</f>
        <v>F</v>
      </c>
      <c r="D74" s="3" t="str">
        <f ca="1">r_choice(Table11[ID])</f>
        <v>G</v>
      </c>
      <c r="E74" s="3" t="str">
        <f t="shared" ca="1" si="6"/>
        <v>South</v>
      </c>
      <c r="F74" s="3" t="str">
        <f ca="1">r_integer(1,500)&amp;" "&amp;r_lname()&amp;" "&amp;r_choice($J$16:$J$21)</f>
        <v>51 Goff Park</v>
      </c>
      <c r="G74" s="3" t="str">
        <f t="shared" ca="1" si="7"/>
        <v>694/974 3856</v>
      </c>
      <c r="J74" t="str">
        <f t="shared" ca="1" si="5"/>
        <v>insert into customer values ('C87', 'Mr. Nina Schaffer', 'F', 'G', 'North', '466 Devine Lane', '697/900 9168');</v>
      </c>
    </row>
    <row r="75" spans="1:10" x14ac:dyDescent="0.15">
      <c r="A75" t="s">
        <v>4595</v>
      </c>
      <c r="B75" s="4" t="str">
        <f ca="1">IF(C75="F","Mr.","Ms.")&amp;" "&amp;IF(C75="F",r_fname_f(),r_fname_m())&amp;" "&amp;r_lname()</f>
        <v>Ms. Melvin Murdock</v>
      </c>
      <c r="C75" s="4" t="str">
        <f ca="1">r_choice(Table172[Gender])</f>
        <v>M</v>
      </c>
      <c r="D75" s="3" t="str">
        <f ca="1">r_choice(Table11[ID])</f>
        <v>G</v>
      </c>
      <c r="E75" s="3" t="str">
        <f t="shared" ca="1" si="6"/>
        <v>North West</v>
      </c>
      <c r="F75" s="3" t="str">
        <f ca="1">r_integer(1,500)&amp;" "&amp;r_lname()&amp;" "&amp;r_choice($J$16:$J$21)</f>
        <v>66 Hampton Park</v>
      </c>
      <c r="G75" s="3" t="str">
        <f t="shared" ca="1" si="7"/>
        <v>694/494 6151</v>
      </c>
      <c r="J75" t="str">
        <f t="shared" ca="1" si="5"/>
        <v>insert into customer values ('C95', 'Mr. Karolyn Stephens', 'F', 'B', 'North West', '282 Thomson Place', '699/238 6343');</v>
      </c>
    </row>
    <row r="76" spans="1:10" x14ac:dyDescent="0.15">
      <c r="A76" t="s">
        <v>4596</v>
      </c>
      <c r="B76" s="4" t="str">
        <f ca="1">IF(C76="F","Mr.","Ms.")&amp;" "&amp;IF(C76="F",r_fname_f(),r_fname_m())&amp;" "&amp;r_lname()</f>
        <v>Mr. Jeanie Mulholland</v>
      </c>
      <c r="C76" s="4" t="str">
        <f ca="1">r_choice(Table172[Gender])</f>
        <v>F</v>
      </c>
      <c r="D76" s="3" t="str">
        <f ca="1">r_choice(Table11[ID])</f>
        <v>S</v>
      </c>
      <c r="E76" s="3" t="str">
        <f t="shared" ca="1" si="6"/>
        <v>East</v>
      </c>
      <c r="F76" s="3" t="str">
        <f ca="1">r_integer(1,500)&amp;" "&amp;r_lname()&amp;" "&amp;r_choice($J$16:$J$21)</f>
        <v>48 Hatfield Street</v>
      </c>
      <c r="G76" s="3" t="str">
        <f t="shared" ca="1" si="7"/>
        <v>695/429 7549</v>
      </c>
      <c r="J76" t="str">
        <f t="shared" ca="1" si="5"/>
        <v>insert into customer values ('C08', 'Ms. Francisco Wilhelm', 'M', 'P', 'South East', '298 Britton Park', '695/517 8102');</v>
      </c>
    </row>
    <row r="77" spans="1:10" x14ac:dyDescent="0.15">
      <c r="A77" t="s">
        <v>4604</v>
      </c>
      <c r="B77" s="4" t="str">
        <f ca="1">IF(C77="F","Mr.","Ms.")&amp;" "&amp;IF(C77="F",r_fname_f(),r_fname_m())&amp;" "&amp;r_lname()</f>
        <v>Ms. Fidelio Barajas</v>
      </c>
      <c r="C77" s="4" t="str">
        <f ca="1">r_choice(Table172[Gender])</f>
        <v>M</v>
      </c>
      <c r="D77" s="3" t="str">
        <f ca="1">r_choice(Table11[ID])</f>
        <v>S</v>
      </c>
      <c r="E77" s="3" t="str">
        <f t="shared" ca="1" si="6"/>
        <v>East</v>
      </c>
      <c r="F77" s="3" t="str">
        <f ca="1">r_integer(1,500)&amp;" "&amp;r_lname()&amp;" "&amp;r_choice($J$16:$J$21)</f>
        <v>45 Dietz Street</v>
      </c>
      <c r="G77" s="3" t="str">
        <f t="shared" ca="1" si="7"/>
        <v>695/569 3959</v>
      </c>
      <c r="J77" t="str">
        <f t="shared" ca="1" si="5"/>
        <v>insert into customer values ('C11', 'Ms. Cordell Gregg', 'M', 'S', 'South', '367 Calvert Place', '697/347 4262');</v>
      </c>
    </row>
    <row r="78" spans="1:10" x14ac:dyDescent="0.15">
      <c r="A78" t="s">
        <v>4606</v>
      </c>
      <c r="B78" s="4" t="str">
        <f ca="1">IF(C78="F","Mr.","Ms.")&amp;" "&amp;IF(C78="F",r_fname_f(),r_fname_m())&amp;" "&amp;r_lname()</f>
        <v>Mr. Dorathy Williamson</v>
      </c>
      <c r="C78" s="4" t="str">
        <f ca="1">r_choice(Table172[Gender])</f>
        <v>F</v>
      </c>
      <c r="D78" s="3" t="str">
        <f ca="1">r_choice(Table11[ID])</f>
        <v>N</v>
      </c>
      <c r="E78" s="3" t="str">
        <f t="shared" ca="1" si="6"/>
        <v>North West</v>
      </c>
      <c r="F78" s="3" t="str">
        <f ca="1">r_integer(1,500)&amp;" "&amp;r_lname()&amp;" "&amp;r_choice($J$16:$J$21)</f>
        <v>172 Snow Place</v>
      </c>
      <c r="G78" s="3" t="str">
        <f t="shared" ca="1" si="7"/>
        <v>692/952 1023</v>
      </c>
      <c r="J78" t="str">
        <f t="shared" ca="1" si="5"/>
        <v>insert into customer values ('C30', 'Ms. Chris Larsen', 'M', 'P', 'South East', '289 Gabriel Park', '696/901 8752');</v>
      </c>
    </row>
    <row r="79" spans="1:10" x14ac:dyDescent="0.15">
      <c r="A79" t="s">
        <v>4207</v>
      </c>
      <c r="B79" s="4" t="str">
        <f ca="1">IF(C79="F","Mr.","Ms.")&amp;" "&amp;IF(C79="F",r_fname_f(),r_fname_m())&amp;" "&amp;r_lname()</f>
        <v>Ms. Jessie Courtney</v>
      </c>
      <c r="C79" s="4" t="str">
        <f ca="1">r_choice(Table172[Gender])</f>
        <v>M</v>
      </c>
      <c r="D79" t="str">
        <f ca="1">r_choice(Table11[ID])</f>
        <v>B</v>
      </c>
      <c r="E79" t="str">
        <f t="shared" ca="1" si="6"/>
        <v>South</v>
      </c>
      <c r="F79" t="str">
        <f ca="1">r_integer(1,500)&amp;" "&amp;r_lname()&amp;" "&amp;r_choice($J$16:$J$21)</f>
        <v>441 Mcneil Avenue</v>
      </c>
      <c r="G79" t="str">
        <f t="shared" ca="1" si="7"/>
        <v>697/881 7836</v>
      </c>
      <c r="J79" t="str">
        <f t="shared" ca="1" si="5"/>
        <v>insert into customer values ('C35', 'Ms. Miles Palmer', 'M', 'P', 'North West', '420 Lyons Street', '695/586 6890');</v>
      </c>
    </row>
    <row r="80" spans="1:10" x14ac:dyDescent="0.15">
      <c r="A80" t="s">
        <v>4212</v>
      </c>
      <c r="B80" s="4" t="str">
        <f ca="1">IF(C80="F","Mr.","Ms.")&amp;" "&amp;IF(C80="F",r_fname_f(),r_fname_m())&amp;" "&amp;r_lname()</f>
        <v>Ms. Dusty Jabbar</v>
      </c>
      <c r="C80" s="4" t="str">
        <f ca="1">r_choice(Table172[Gender])</f>
        <v>M</v>
      </c>
      <c r="D80" t="str">
        <f ca="1">r_choice(Table11[ID])</f>
        <v>N</v>
      </c>
      <c r="E80" t="str">
        <f t="shared" ca="1" si="6"/>
        <v>South West</v>
      </c>
      <c r="F80" t="str">
        <f ca="1">r_integer(1,500)&amp;" "&amp;r_lname()&amp;" "&amp;r_choice($J$16:$J$21)</f>
        <v>306 Rangel Avenue</v>
      </c>
      <c r="G80" t="str">
        <f t="shared" ca="1" si="7"/>
        <v>695/816 2652</v>
      </c>
      <c r="J80" t="str">
        <f t="shared" ca="1" si="5"/>
        <v>insert into customer values ('C36', 'Mr. Malka Wittgenstein', 'F', 'B', 'North West', '102 Cartwright Park', '694/743 8670');</v>
      </c>
    </row>
    <row r="81" spans="1:10" x14ac:dyDescent="0.15">
      <c r="A81" t="s">
        <v>4215</v>
      </c>
      <c r="B81" s="4" t="str">
        <f ca="1">IF(C81="F","Mr.","Ms.")&amp;" "&amp;IF(C81="F",r_fname_f(),r_fname_m())&amp;" "&amp;r_lname()</f>
        <v>Ms. Leif Mcdonough</v>
      </c>
      <c r="C81" s="4" t="str">
        <f ca="1">r_choice(Table172[Gender])</f>
        <v>M</v>
      </c>
      <c r="D81" t="str">
        <f ca="1">r_choice(Table11[ID])</f>
        <v>N</v>
      </c>
      <c r="E81" t="str">
        <f t="shared" ca="1" si="6"/>
        <v>South East</v>
      </c>
      <c r="F81" t="str">
        <f ca="1">r_integer(1,500)&amp;" "&amp;r_lname()&amp;" "&amp;r_choice($J$16:$J$21)</f>
        <v>340 Brown Place</v>
      </c>
      <c r="G81" t="str">
        <f t="shared" ca="1" si="7"/>
        <v>694/224 8427</v>
      </c>
      <c r="J81" t="str">
        <f t="shared" ca="1" si="5"/>
        <v>insert into customer values ('C42', 'Ms. Reid Macias', 'M', 'B', 'North East', '189 Hankins Lane', '697/310 1968');</v>
      </c>
    </row>
    <row r="82" spans="1:10" x14ac:dyDescent="0.15">
      <c r="A82" t="s">
        <v>4220</v>
      </c>
      <c r="B82" s="4" t="str">
        <f ca="1">IF(C82="F","Mr.","Ms.")&amp;" "&amp;IF(C82="F",r_fname_f(),r_fname_m())&amp;" "&amp;r_lname()</f>
        <v>Mr. Cindi Estrada</v>
      </c>
      <c r="C82" s="4" t="str">
        <f ca="1">r_choice(Table172[Gender])</f>
        <v>F</v>
      </c>
      <c r="D82" t="str">
        <f ca="1">r_choice(Table11[ID])</f>
        <v>B</v>
      </c>
      <c r="E82" t="str">
        <f t="shared" ca="1" si="6"/>
        <v>North East</v>
      </c>
      <c r="F82" t="str">
        <f ca="1">r_integer(1,500)&amp;" "&amp;r_lname()&amp;" "&amp;r_choice($J$16:$J$21)</f>
        <v>51 Butcher Place</v>
      </c>
      <c r="G82" t="str">
        <f t="shared" ca="1" si="7"/>
        <v>696/189 6074</v>
      </c>
      <c r="J82" t="str">
        <f t="shared" ca="1" si="5"/>
        <v>insert into customer values ('C48', 'Mr. Sanjuanita Whalen', 'F', 'B', 'North West', '469 Wager Street', '698/441 6666');</v>
      </c>
    </row>
    <row r="83" spans="1:10" x14ac:dyDescent="0.15">
      <c r="A83" t="s">
        <v>4257</v>
      </c>
      <c r="B83" s="4" t="str">
        <f ca="1">IF(C83="F","Mr.","Ms.")&amp;" "&amp;IF(C83="F",r_fname_f(),r_fname_m())&amp;" "&amp;r_lname()</f>
        <v>Mr. Janita Spence</v>
      </c>
      <c r="C83" s="4" t="str">
        <f ca="1">r_choice(Table172[Gender])</f>
        <v>F</v>
      </c>
      <c r="D83" t="str">
        <f ca="1">r_choice(Table11[ID])</f>
        <v>S</v>
      </c>
      <c r="E83" t="str">
        <f t="shared" ca="1" si="6"/>
        <v>East</v>
      </c>
      <c r="F83" t="str">
        <f ca="1">r_integer(1,500)&amp;" "&amp;r_lname()&amp;" "&amp;r_choice($J$16:$J$21)</f>
        <v>79 Simons Avenue</v>
      </c>
      <c r="G83" t="str">
        <f t="shared" ca="1" si="7"/>
        <v>697/995 9460</v>
      </c>
      <c r="J83" t="str">
        <f t="shared" ca="1" si="5"/>
        <v>insert into customer values ('C57', 'Mr. Liza Santiago', 'F', 'G', 'East', '347 Vu Street', '692/253 9858');</v>
      </c>
    </row>
    <row r="84" spans="1:10" x14ac:dyDescent="0.15">
      <c r="A84" t="s">
        <v>4273</v>
      </c>
      <c r="B84" s="4" t="str">
        <f ca="1">IF(C84="F","Mr.","Ms.")&amp;" "&amp;IF(C84="F",r_fname_f(),r_fname_m())&amp;" "&amp;r_lname()</f>
        <v>Mr. Kori Knox</v>
      </c>
      <c r="C84" s="4" t="str">
        <f ca="1">r_choice(Table172[Gender])</f>
        <v>F</v>
      </c>
      <c r="D84" t="str">
        <f ca="1">r_choice(Table11[ID])</f>
        <v>S</v>
      </c>
      <c r="E84" t="str">
        <f t="shared" ca="1" si="6"/>
        <v>East</v>
      </c>
      <c r="F84" t="str">
        <f ca="1">r_integer(1,500)&amp;" "&amp;r_lname()&amp;" "&amp;r_choice($J$16:$J$21)</f>
        <v>266 Solis Street</v>
      </c>
      <c r="G84" t="str">
        <f t="shared" ca="1" si="7"/>
        <v>697/890 9167</v>
      </c>
      <c r="J84" t="str">
        <f t="shared" ca="1" si="5"/>
        <v>insert into customer values ('C65', 'Mr. Brooke Mammet', 'F', 'G', 'North East', '354 Sherman Square', '695/570 6574');</v>
      </c>
    </row>
    <row r="85" spans="1:10" x14ac:dyDescent="0.15">
      <c r="A85" t="s">
        <v>4556</v>
      </c>
      <c r="B85" s="4" t="str">
        <f ca="1">IF(C85="F","Mr.","Ms.")&amp;" "&amp;IF(C85="F",r_fname_f(),r_fname_m())&amp;" "&amp;r_lname()</f>
        <v>Mr. Florance Hager</v>
      </c>
      <c r="C85" s="4" t="str">
        <f ca="1">r_choice(Table172[Gender])</f>
        <v>F</v>
      </c>
      <c r="D85" s="3" t="str">
        <f ca="1">r_choice(Table11[ID])</f>
        <v>P</v>
      </c>
      <c r="E85" s="3" t="str">
        <f t="shared" ca="1" si="6"/>
        <v>North East</v>
      </c>
      <c r="F85" s="3" t="str">
        <f ca="1">r_integer(1,500)&amp;" "&amp;r_lname()&amp;" "&amp;r_choice($J$16:$J$21)</f>
        <v>397 Stockton Street</v>
      </c>
      <c r="G85" s="3" t="str">
        <f t="shared" ca="1" si="7"/>
        <v>696/996 9249</v>
      </c>
      <c r="J85" t="str">
        <f t="shared" ca="1" si="5"/>
        <v>insert into customer values ('C71', 'Ms. Joel Denny', 'M', 'B', 'South', '35 Burnes Place', '693/308 3028');</v>
      </c>
    </row>
    <row r="86" spans="1:10" x14ac:dyDescent="0.15">
      <c r="A86" t="s">
        <v>4557</v>
      </c>
      <c r="B86" s="4" t="str">
        <f ca="1">IF(C86="F","Mr.","Ms.")&amp;" "&amp;IF(C86="F",r_fname_f(),r_fname_m())&amp;" "&amp;r_lname()</f>
        <v>Ms. Tod Wade</v>
      </c>
      <c r="C86" s="4" t="str">
        <f ca="1">r_choice(Table172[Gender])</f>
        <v>M</v>
      </c>
      <c r="D86" s="3" t="str">
        <f ca="1">r_choice(Table11[ID])</f>
        <v>P</v>
      </c>
      <c r="E86" s="3" t="str">
        <f t="shared" ca="1" si="6"/>
        <v>West</v>
      </c>
      <c r="F86" s="3" t="str">
        <f ca="1">r_integer(1,500)&amp;" "&amp;r_lname()&amp;" "&amp;r_choice($J$16:$J$21)</f>
        <v>201 Neumann Lane</v>
      </c>
      <c r="G86" s="3" t="str">
        <f t="shared" ca="1" si="7"/>
        <v>693/524 2094</v>
      </c>
      <c r="J86" t="str">
        <f t="shared" ca="1" si="5"/>
        <v>insert into customer values ('C74', 'Mr. Sanda Xenakis', 'F', 'S', 'East', '385 Lee Place', '696/523 2131');</v>
      </c>
    </row>
    <row r="87" spans="1:10" x14ac:dyDescent="0.15">
      <c r="A87" t="s">
        <v>4562</v>
      </c>
      <c r="B87" s="4" t="str">
        <f ca="1">IF(C87="F","Mr.","Ms.")&amp;" "&amp;IF(C87="F",r_fname_f(),r_fname_m())&amp;" "&amp;r_lname()</f>
        <v>Ms. Landon Mcclendon</v>
      </c>
      <c r="C87" s="4" t="str">
        <f ca="1">r_choice(Table172[Gender])</f>
        <v>M</v>
      </c>
      <c r="D87" s="3" t="str">
        <f ca="1">r_choice(Table11[ID])</f>
        <v>S</v>
      </c>
      <c r="E87" s="3" t="str">
        <f t="shared" ca="1" si="6"/>
        <v>North West</v>
      </c>
      <c r="F87" s="3" t="str">
        <f ca="1">r_integer(1,500)&amp;" "&amp;r_lname()&amp;" "&amp;r_choice($J$16:$J$21)</f>
        <v>230 Pritchett Square</v>
      </c>
      <c r="G87" s="3" t="str">
        <f t="shared" ca="1" si="7"/>
        <v>692/431 5839</v>
      </c>
      <c r="J87" t="str">
        <f t="shared" ca="1" si="5"/>
        <v>insert into customer values ('C84', 'Mr. Cierra Mayfield', 'F', 'S', 'North East', '158 Rubic Lane', '699/761 9177');</v>
      </c>
    </row>
    <row r="88" spans="1:10" x14ac:dyDescent="0.15">
      <c r="A88" t="s">
        <v>4568</v>
      </c>
      <c r="B88" s="4" t="str">
        <f ca="1">IF(C88="F","Mr.","Ms.")&amp;" "&amp;IF(C88="F",r_fname_f(),r_fname_m())&amp;" "&amp;r_lname()</f>
        <v>Mr. Ronni Corley</v>
      </c>
      <c r="C88" s="4" t="str">
        <f ca="1">r_choice(Table172[Gender])</f>
        <v>F</v>
      </c>
      <c r="D88" s="3" t="str">
        <f ca="1">r_choice(Table11[ID])</f>
        <v>B</v>
      </c>
      <c r="E88" s="3" t="str">
        <f t="shared" ca="1" si="6"/>
        <v>North West</v>
      </c>
      <c r="F88" s="3" t="str">
        <f ca="1">r_integer(1,500)&amp;" "&amp;r_lname()&amp;" "&amp;r_choice($J$16:$J$21)</f>
        <v>357 Auldrin Square</v>
      </c>
      <c r="G88" s="3" t="str">
        <f t="shared" ca="1" si="7"/>
        <v>696/458 8062</v>
      </c>
      <c r="J88" t="str">
        <f t="shared" ca="1" si="5"/>
        <v>insert into customer values ('C85', 'Ms. Bobby Boggs', 'M', 'G', 'South West', '20 Grady Avenue', '698/800 7132');</v>
      </c>
    </row>
    <row r="89" spans="1:10" x14ac:dyDescent="0.15">
      <c r="A89" t="s">
        <v>4571</v>
      </c>
      <c r="B89" s="4" t="str">
        <f ca="1">IF(C89="F","Mr.","Ms.")&amp;" "&amp;IF(C89="F",r_fname_f(),r_fname_m())&amp;" "&amp;r_lname()</f>
        <v>Mr. Rosie Harden</v>
      </c>
      <c r="C89" s="4" t="str">
        <f ca="1">r_choice(Table172[Gender])</f>
        <v>F</v>
      </c>
      <c r="D89" s="3" t="str">
        <f ca="1">r_choice(Table11[ID])</f>
        <v>B</v>
      </c>
      <c r="E89" s="3" t="str">
        <f t="shared" ca="1" si="6"/>
        <v>South</v>
      </c>
      <c r="F89" s="3" t="str">
        <f ca="1">r_integer(1,500)&amp;" "&amp;r_lname()&amp;" "&amp;r_choice($J$16:$J$21)</f>
        <v>282 Hendrix Street</v>
      </c>
      <c r="G89" s="3" t="str">
        <f t="shared" ca="1" si="7"/>
        <v>697/956 3071</v>
      </c>
      <c r="J89" t="str">
        <f t="shared" ca="1" si="5"/>
        <v>insert into customer values ('C100', 'Mr. Isabelle Guinsburg', 'F', 'P', 'North East', '3 Mansfield Place', '692/502 1533');</v>
      </c>
    </row>
    <row r="90" spans="1:10" x14ac:dyDescent="0.15">
      <c r="A90" t="s">
        <v>4573</v>
      </c>
      <c r="B90" s="4" t="str">
        <f ca="1">IF(C90="F","Mr.","Ms.")&amp;" "&amp;IF(C90="F",r_fname_f(),r_fname_m())&amp;" "&amp;r_lname()</f>
        <v>Mr. Amber Rico</v>
      </c>
      <c r="C90" s="4" t="str">
        <f ca="1">r_choice(Table172[Gender])</f>
        <v>F</v>
      </c>
      <c r="D90" s="3" t="str">
        <f ca="1">r_choice(Table11[ID])</f>
        <v>G</v>
      </c>
      <c r="E90" s="3" t="str">
        <f t="shared" ca="1" si="6"/>
        <v>South West</v>
      </c>
      <c r="F90" s="3" t="str">
        <f ca="1">r_integer(1,500)&amp;" "&amp;r_lname()&amp;" "&amp;r_choice($J$16:$J$21)</f>
        <v>485 Campbell Square</v>
      </c>
      <c r="G90" s="3" t="str">
        <f t="shared" ca="1" si="7"/>
        <v>694/752 5146</v>
      </c>
      <c r="J90" t="str">
        <f t="shared" ca="1" si="5"/>
        <v>insert into customer values ('C06', 'Mr. Emmy Colmer', 'F', 'S', 'North East', '453 Brooks Avenue', '699/255 9124');</v>
      </c>
    </row>
    <row r="91" spans="1:10" x14ac:dyDescent="0.15">
      <c r="A91" t="s">
        <v>4580</v>
      </c>
      <c r="B91" s="4" t="str">
        <f ca="1">IF(C91="F","Mr.","Ms.")&amp;" "&amp;IF(C91="F",r_fname_f(),r_fname_m())&amp;" "&amp;r_lname()</f>
        <v>Ms. Wyatt Judd</v>
      </c>
      <c r="C91" s="4" t="str">
        <f ca="1">r_choice(Table172[Gender])</f>
        <v>M</v>
      </c>
      <c r="D91" s="3" t="str">
        <f ca="1">r_choice(Table11[ID])</f>
        <v>S</v>
      </c>
      <c r="E91" s="3" t="str">
        <f t="shared" ca="1" si="6"/>
        <v>North East</v>
      </c>
      <c r="F91" s="3" t="str">
        <f ca="1">r_integer(1,500)&amp;" "&amp;r_lname()&amp;" "&amp;r_choice($J$16:$J$21)</f>
        <v>124 Griggs Street</v>
      </c>
      <c r="G91" s="3" t="str">
        <f t="shared" ca="1" si="7"/>
        <v>695/341 8831</v>
      </c>
      <c r="J91" t="str">
        <f t="shared" ca="1" si="5"/>
        <v>insert into customer values ('C14', 'Ms. Emory Kline', 'M', 'B', 'North West', '405 Benson Street', '694/763 1094');</v>
      </c>
    </row>
    <row r="92" spans="1:10" x14ac:dyDescent="0.15">
      <c r="A92" t="s">
        <v>4583</v>
      </c>
      <c r="B92" s="4" t="str">
        <f ca="1">IF(C92="F","Mr.","Ms.")&amp;" "&amp;IF(C92="F",r_fname_f(),r_fname_m())&amp;" "&amp;r_lname()</f>
        <v>Mr. So Williams</v>
      </c>
      <c r="C92" s="4" t="str">
        <f ca="1">r_choice(Table172[Gender])</f>
        <v>F</v>
      </c>
      <c r="D92" s="3" t="str">
        <f ca="1">r_choice(Table11[ID])</f>
        <v>S</v>
      </c>
      <c r="E92" s="3" t="str">
        <f t="shared" ca="1" si="6"/>
        <v>South West</v>
      </c>
      <c r="F92" s="3" t="str">
        <f ca="1">r_integer(1,500)&amp;" "&amp;r_lname()&amp;" "&amp;r_choice($J$16:$J$21)</f>
        <v>87 Bahrens Avenue</v>
      </c>
      <c r="G92" s="3" t="str">
        <f t="shared" ca="1" si="7"/>
        <v>696/215 3513</v>
      </c>
      <c r="J92" t="str">
        <f t="shared" ca="1" si="5"/>
        <v>insert into customer values ('C18', 'Ms. Igor Driscoll', 'M', 'S', 'South West', '417 Benedict Avenue', '690/870 5831');</v>
      </c>
    </row>
    <row r="93" spans="1:10" x14ac:dyDescent="0.15">
      <c r="A93" t="s">
        <v>4585</v>
      </c>
      <c r="B93" s="4" t="str">
        <f ca="1">IF(C93="F","Mr.","Ms.")&amp;" "&amp;IF(C93="F",r_fname_f(),r_fname_m())&amp;" "&amp;r_lname()</f>
        <v>Mr. Larissa Leach</v>
      </c>
      <c r="C93" s="4" t="str">
        <f ca="1">r_choice(Table172[Gender])</f>
        <v>F</v>
      </c>
      <c r="D93" s="3" t="str">
        <f ca="1">r_choice(Table11[ID])</f>
        <v>N</v>
      </c>
      <c r="E93" s="3" t="str">
        <f t="shared" ca="1" si="6"/>
        <v>East</v>
      </c>
      <c r="F93" s="3" t="str">
        <f ca="1">r_integer(1,500)&amp;" "&amp;r_lname()&amp;" "&amp;r_choice($J$16:$J$21)</f>
        <v>208 Maloney Avenue</v>
      </c>
      <c r="G93" s="3" t="str">
        <f t="shared" ca="1" si="7"/>
        <v>692/554 3135</v>
      </c>
      <c r="J93" t="str">
        <f t="shared" ca="1" si="5"/>
        <v>insert into customer values ('C19', 'Ms. Leigh Cardenas', 'M', 'S', 'South West', '163 Savage Park', '692/137 6144');</v>
      </c>
    </row>
    <row r="94" spans="1:10" x14ac:dyDescent="0.15">
      <c r="A94" t="s">
        <v>4589</v>
      </c>
      <c r="B94" s="4" t="str">
        <f ca="1">IF(C94="F","Mr.","Ms.")&amp;" "&amp;IF(C94="F",r_fname_f(),r_fname_m())&amp;" "&amp;r_lname()</f>
        <v>Ms. Frederic Barber</v>
      </c>
      <c r="C94" s="4" t="str">
        <f ca="1">r_choice(Table172[Gender])</f>
        <v>M</v>
      </c>
      <c r="D94" s="3" t="str">
        <f ca="1">r_choice(Table11[ID])</f>
        <v>S</v>
      </c>
      <c r="E94" s="3" t="str">
        <f t="shared" ca="1" si="6"/>
        <v>East</v>
      </c>
      <c r="F94" s="3" t="str">
        <f ca="1">r_integer(1,500)&amp;" "&amp;r_lname()&amp;" "&amp;r_choice($J$16:$J$21)</f>
        <v>429 Hickey Lane</v>
      </c>
      <c r="G94" s="3" t="str">
        <f t="shared" ca="1" si="7"/>
        <v>692/230 6196</v>
      </c>
      <c r="J94" t="str">
        <f t="shared" ca="1" si="5"/>
        <v>insert into customer values ('C22', 'Ms. Felipe Flaherty', 'M', 'S', 'East', '110 Hess Street', '690/333 4676');</v>
      </c>
    </row>
    <row r="95" spans="1:10" x14ac:dyDescent="0.15">
      <c r="A95" t="s">
        <v>4591</v>
      </c>
      <c r="B95" s="4" t="str">
        <f ca="1">IF(C95="F","Mr.","Ms.")&amp;" "&amp;IF(C95="F",r_fname_f(),r_fname_m())&amp;" "&amp;r_lname()</f>
        <v>Mr. Shavon Kirkpatrick</v>
      </c>
      <c r="C95" s="4" t="str">
        <f ca="1">r_choice(Table172[Gender])</f>
        <v>F</v>
      </c>
      <c r="D95" s="3" t="str">
        <f ca="1">r_choice(Table11[ID])</f>
        <v>N</v>
      </c>
      <c r="E95" s="3" t="str">
        <f t="shared" ca="1" si="6"/>
        <v>South West</v>
      </c>
      <c r="F95" s="3" t="str">
        <f ca="1">r_integer(1,500)&amp;" "&amp;r_lname()&amp;" "&amp;r_choice($J$16:$J$21)</f>
        <v>82 Christopher Park</v>
      </c>
      <c r="G95" s="3" t="str">
        <f t="shared" ca="1" si="7"/>
        <v>692/264 7298</v>
      </c>
      <c r="J95" t="str">
        <f t="shared" ca="1" si="5"/>
        <v>insert into customer values ('C26', 'Mr. Phylis Woody', 'F', 'S', 'South', '118 Bowles Avenue', '696/805 9759');</v>
      </c>
    </row>
    <row r="96" spans="1:10" x14ac:dyDescent="0.15">
      <c r="A96" t="s">
        <v>4602</v>
      </c>
      <c r="B96" s="4" t="str">
        <f ca="1">IF(C96="F","Mr.","Ms.")&amp;" "&amp;IF(C96="F",r_fname_f(),r_fname_m())&amp;" "&amp;r_lname()</f>
        <v>Ms. Marcellus Pyne</v>
      </c>
      <c r="C96" s="4" t="str">
        <f ca="1">r_choice(Table172[Gender])</f>
        <v>M</v>
      </c>
      <c r="D96" s="3" t="str">
        <f ca="1">r_choice(Table11[ID])</f>
        <v>N</v>
      </c>
      <c r="E96" s="3" t="str">
        <f t="shared" ca="1" si="6"/>
        <v>South</v>
      </c>
      <c r="F96" s="3" t="str">
        <f ca="1">r_integer(1,500)&amp;" "&amp;r_lname()&amp;" "&amp;r_choice($J$16:$J$21)</f>
        <v>479 Groves Square</v>
      </c>
      <c r="G96" s="3" t="str">
        <f t="shared" ca="1" si="7"/>
        <v>693/527 8343</v>
      </c>
      <c r="J96" t="str">
        <f t="shared" ca="1" si="5"/>
        <v>insert into customer values ('C32', 'Mr. Solange Sachs', 'F', 'N', 'North', '178 Foley Street', '692/121 5966');</v>
      </c>
    </row>
    <row r="97" spans="1:10" x14ac:dyDescent="0.15">
      <c r="A97" t="s">
        <v>4603</v>
      </c>
      <c r="B97" s="4" t="str">
        <f ca="1">IF(C97="F","Mr.","Ms.")&amp;" "&amp;IF(C97="F",r_fname_f(),r_fname_m())&amp;" "&amp;r_lname()</f>
        <v>Ms. Edwin Rhodes</v>
      </c>
      <c r="C97" s="4" t="str">
        <f ca="1">r_choice(Table172[Gender])</f>
        <v>M</v>
      </c>
      <c r="D97" s="3" t="str">
        <f ca="1">r_choice(Table11[ID])</f>
        <v>B</v>
      </c>
      <c r="E97" s="3" t="str">
        <f t="shared" ca="1" si="6"/>
        <v>South West</v>
      </c>
      <c r="F97" s="3" t="str">
        <f ca="1">r_integer(1,500)&amp;" "&amp;r_lname()&amp;" "&amp;r_choice($J$16:$J$21)</f>
        <v>96 Fowler Avenue</v>
      </c>
      <c r="G97" s="3" t="str">
        <f t="shared" ca="1" si="7"/>
        <v>690/267 9640</v>
      </c>
      <c r="J97" t="str">
        <f t="shared" ref="J97:J128" ca="1" si="8">insertinto(A66:G66,$J$26:$K$32,"customer")</f>
        <v>insert into customer values ('C40', 'Mr. Sabrina Chase', 'F', 'S', 'East', '337 Kimsey Square', '690/817 7983');</v>
      </c>
    </row>
    <row r="98" spans="1:10" x14ac:dyDescent="0.15">
      <c r="A98" t="s">
        <v>4607</v>
      </c>
      <c r="B98" s="4" t="str">
        <f ca="1">IF(C98="F","Mr.","Ms.")&amp;" "&amp;IF(C98="F",r_fname_f(),r_fname_m())&amp;" "&amp;r_lname()</f>
        <v>Ms. Amos Zhang</v>
      </c>
      <c r="C98" s="4" t="str">
        <f ca="1">r_choice(Table172[Gender])</f>
        <v>M</v>
      </c>
      <c r="D98" s="3" t="str">
        <f ca="1">r_choice(Table11[ID])</f>
        <v>P</v>
      </c>
      <c r="E98" s="3" t="str">
        <f t="shared" ca="1" si="6"/>
        <v>West</v>
      </c>
      <c r="F98" s="3" t="str">
        <f ca="1">r_integer(1,500)&amp;" "&amp;r_lname()&amp;" "&amp;r_choice($J$16:$J$21)</f>
        <v>315 Connor Street</v>
      </c>
      <c r="G98" s="3" t="str">
        <f t="shared" ca="1" si="7"/>
        <v>694/479 1492</v>
      </c>
      <c r="J98" t="str">
        <f t="shared" ca="1" si="8"/>
        <v>insert into customer values ('C46', 'Ms. Fidelio Lujan', 'M', 'S', 'North East', '209 Suslov Park', '695/198 5662');</v>
      </c>
    </row>
    <row r="99" spans="1:10" x14ac:dyDescent="0.15">
      <c r="A99" t="s">
        <v>4609</v>
      </c>
      <c r="B99" s="4" t="str">
        <f ca="1">IF(C99="F","Mr.","Ms.")&amp;" "&amp;IF(C99="F",r_fname_f(),r_fname_m())&amp;" "&amp;r_lname()</f>
        <v>Mr. Klara Stockhausen</v>
      </c>
      <c r="C99" s="4" t="str">
        <f ca="1">r_choice(Table172[Gender])</f>
        <v>F</v>
      </c>
      <c r="D99" s="3" t="str">
        <f ca="1">r_choice(Table11[ID])</f>
        <v>P</v>
      </c>
      <c r="E99" s="3" t="str">
        <f t="shared" ca="1" si="6"/>
        <v>North West</v>
      </c>
      <c r="F99" s="3" t="str">
        <f ca="1">r_integer(1,500)&amp;" "&amp;r_lname()&amp;" "&amp;r_choice($J$16:$J$21)</f>
        <v>432 Larson Square</v>
      </c>
      <c r="G99" s="3" t="str">
        <f t="shared" ca="1" si="7"/>
        <v>695/138 4940</v>
      </c>
      <c r="J99" t="str">
        <f t="shared" ca="1" si="8"/>
        <v>insert into customer values ('C50', 'Mr. Lai Cummings', 'F', 'N', 'North East', '305 Thornton Square', '698/112 4034');</v>
      </c>
    </row>
    <row r="100" spans="1:10" x14ac:dyDescent="0.15">
      <c r="A100" t="s">
        <v>4610</v>
      </c>
      <c r="B100" s="4" t="str">
        <f ca="1">IF(C100="F","Mr.","Ms.")&amp;" "&amp;IF(C100="F",r_fname_f(),r_fname_m())&amp;" "&amp;r_lname()</f>
        <v>Mr. Verda Hollingsworth</v>
      </c>
      <c r="C100" s="4" t="str">
        <f ca="1">r_choice(Table172[Gender])</f>
        <v>F</v>
      </c>
      <c r="D100" s="3" t="str">
        <f ca="1">r_choice(Table11[ID])</f>
        <v>G</v>
      </c>
      <c r="E100" s="3" t="str">
        <f t="shared" ca="1" si="6"/>
        <v>West</v>
      </c>
      <c r="F100" s="3" t="str">
        <f ca="1">r_integer(1,500)&amp;" "&amp;r_lname()&amp;" "&amp;r_choice($J$16:$J$21)</f>
        <v>199 Keller Place</v>
      </c>
      <c r="G100" s="3" t="str">
        <f t="shared" ca="1" si="7"/>
        <v>693/145 2165</v>
      </c>
      <c r="J100" t="str">
        <f t="shared" ca="1" si="8"/>
        <v>insert into customer values ('C52', 'Ms. Frances Ervin', 'M', 'N', 'South West', '334 Stacy Place', '692/417 1616');</v>
      </c>
    </row>
    <row r="101" spans="1:10" x14ac:dyDescent="0.15">
      <c r="A101" t="s">
        <v>4612</v>
      </c>
      <c r="B101" s="4" t="str">
        <f ca="1">IF(C101="F","Mr.","Ms.")&amp;" "&amp;IF(C101="F",r_fname_f(),r_fname_m())&amp;" "&amp;r_lname()</f>
        <v>Ms. Neil Hays</v>
      </c>
      <c r="C101" s="4" t="str">
        <f ca="1">r_choice(Table172[Gender])</f>
        <v>M</v>
      </c>
      <c r="D101" s="3" t="str">
        <f ca="1">r_choice(Table11[ID])</f>
        <v>P</v>
      </c>
      <c r="E101" s="3" t="str">
        <f t="shared" ca="1" si="6"/>
        <v>North</v>
      </c>
      <c r="F101" s="3" t="str">
        <f ca="1">r_integer(1,500)&amp;" "&amp;r_lname()&amp;" "&amp;r_choice($J$16:$J$21)</f>
        <v>219 Bond Square</v>
      </c>
      <c r="G101" s="3" t="str">
        <f t="shared" ca="1" si="7"/>
        <v>699/815 4423</v>
      </c>
      <c r="J101" t="str">
        <f t="shared" ca="1" si="8"/>
        <v>insert into customer values ('C59', 'Mr. Annabell Cook', 'F', 'N', 'South East', '439 Frank Square', '697/698 2710');</v>
      </c>
    </row>
    <row r="102" spans="1:10" x14ac:dyDescent="0.15">
      <c r="J102" t="str">
        <f t="shared" ca="1" si="8"/>
        <v>insert into customer values ('C64', 'Mr. Meagan Hahnemann', 'F', 'B', 'North', '89 Rasmussen Square', '698/796 9237');</v>
      </c>
    </row>
    <row r="103" spans="1:10" x14ac:dyDescent="0.15">
      <c r="J103" t="str">
        <f t="shared" ca="1" si="8"/>
        <v>insert into customer values ('C66', 'Ms. Wesley Davies', 'M', 'S', 'South East', '124 Saenz Square', '693/147 7802');</v>
      </c>
    </row>
    <row r="104" spans="1:10" x14ac:dyDescent="0.15">
      <c r="J104" t="str">
        <f t="shared" ca="1" si="8"/>
        <v>insert into customer values ('C69', 'Mr. Lilian Gamez', 'F', 'N', 'North East', '88 Wooten Park', '690/339 8221');</v>
      </c>
    </row>
    <row r="105" spans="1:10" x14ac:dyDescent="0.15">
      <c r="J105" t="str">
        <f t="shared" ca="1" si="8"/>
        <v>insert into customer values ('C81', 'Mr. Karren Longworth', 'F', 'G', 'South', '51 Goff Park', '694/974 3856');</v>
      </c>
    </row>
    <row r="106" spans="1:10" x14ac:dyDescent="0.15">
      <c r="J106" t="str">
        <f t="shared" ca="1" si="8"/>
        <v>insert into customer values ('C82', 'Ms. Melvin Murdock', 'M', 'G', 'North West', '66 Hampton Park', '694/494 6151');</v>
      </c>
    </row>
    <row r="107" spans="1:10" x14ac:dyDescent="0.15">
      <c r="J107" t="str">
        <f t="shared" ca="1" si="8"/>
        <v>insert into customer values ('C83', 'Mr. Jeanie Mulholland', 'F', 'S', 'East', '48 Hatfield Street', '695/429 7549');</v>
      </c>
    </row>
    <row r="108" spans="1:10" x14ac:dyDescent="0.15">
      <c r="J108" t="str">
        <f t="shared" ca="1" si="8"/>
        <v>insert into customer values ('C91', 'Ms. Fidelio Barajas', 'M', 'S', 'East', '45 Dietz Street', '695/569 3959');</v>
      </c>
    </row>
    <row r="109" spans="1:10" x14ac:dyDescent="0.15">
      <c r="J109" t="str">
        <f t="shared" ca="1" si="8"/>
        <v>insert into customer values ('C93', 'Mr. Dorathy Williamson', 'F', 'N', 'North West', '172 Snow Place', '692/952 1023');</v>
      </c>
    </row>
    <row r="110" spans="1:10" x14ac:dyDescent="0.15">
      <c r="J110" t="str">
        <f t="shared" ca="1" si="8"/>
        <v>insert into customer values ('C07', 'Ms. Jessie Courtney', 'M', 'B', 'South', '441 Mcneil Avenue', '697/881 7836');</v>
      </c>
    </row>
    <row r="111" spans="1:10" x14ac:dyDescent="0.15">
      <c r="J111" t="str">
        <f t="shared" ca="1" si="8"/>
        <v>insert into customer values ('C12', 'Ms. Dusty Jabbar', 'M', 'N', 'South West', '306 Rangel Avenue', '695/816 2652');</v>
      </c>
    </row>
    <row r="112" spans="1:10" x14ac:dyDescent="0.15">
      <c r="J112" t="str">
        <f t="shared" ca="1" si="8"/>
        <v>insert into customer values ('C15', 'Ms. Leif Mcdonough', 'M', 'N', 'South East', '340 Brown Place', '694/224 8427');</v>
      </c>
    </row>
    <row r="113" spans="10:10" x14ac:dyDescent="0.15">
      <c r="J113" t="str">
        <f t="shared" ca="1" si="8"/>
        <v>insert into customer values ('C20', 'Mr. Cindi Estrada', 'F', 'B', 'North East', '51 Butcher Place', '696/189 6074');</v>
      </c>
    </row>
    <row r="114" spans="10:10" x14ac:dyDescent="0.15">
      <c r="J114" t="str">
        <f t="shared" ca="1" si="8"/>
        <v>insert into customer values ('C21', 'Mr. Janita Spence', 'F', 'S', 'East', '79 Simons Avenue', '697/995 9460');</v>
      </c>
    </row>
    <row r="115" spans="10:10" x14ac:dyDescent="0.15">
      <c r="J115" t="str">
        <f t="shared" ca="1" si="8"/>
        <v>insert into customer values ('C37', 'Mr. Kori Knox', 'F', 'S', 'East', '266 Solis Street', '697/890 9167');</v>
      </c>
    </row>
    <row r="116" spans="10:10" x14ac:dyDescent="0.15">
      <c r="J116" t="str">
        <f t="shared" ca="1" si="8"/>
        <v>insert into customer values ('C43', 'Mr. Florance Hager', 'F', 'P', 'North East', '397 Stockton Street', '696/996 9249');</v>
      </c>
    </row>
    <row r="117" spans="10:10" x14ac:dyDescent="0.15">
      <c r="J117" t="str">
        <f t="shared" ca="1" si="8"/>
        <v>insert into customer values ('C44', 'Ms. Tod Wade', 'M', 'P', 'West', '201 Neumann Lane', '693/524 2094');</v>
      </c>
    </row>
    <row r="118" spans="10:10" x14ac:dyDescent="0.15">
      <c r="J118" t="str">
        <f t="shared" ca="1" si="8"/>
        <v>insert into customer values ('C49', 'Ms. Landon Mcclendon', 'M', 'S', 'North West', '230 Pritchett Square', '692/431 5839');</v>
      </c>
    </row>
    <row r="119" spans="10:10" x14ac:dyDescent="0.15">
      <c r="J119" t="str">
        <f t="shared" ca="1" si="8"/>
        <v>insert into customer values ('C55', 'Mr. Ronni Corley', 'F', 'B', 'North West', '357 Auldrin Square', '696/458 8062');</v>
      </c>
    </row>
    <row r="120" spans="10:10" x14ac:dyDescent="0.15">
      <c r="J120" t="str">
        <f t="shared" ca="1" si="8"/>
        <v>insert into customer values ('C58', 'Mr. Rosie Harden', 'F', 'B', 'South', '282 Hendrix Street', '697/956 3071');</v>
      </c>
    </row>
    <row r="121" spans="10:10" x14ac:dyDescent="0.15">
      <c r="J121" t="str">
        <f t="shared" ca="1" si="8"/>
        <v>insert into customer values ('C60', 'Mr. Amber Rico', 'F', 'G', 'South West', '485 Campbell Square', '694/752 5146');</v>
      </c>
    </row>
    <row r="122" spans="10:10" x14ac:dyDescent="0.15">
      <c r="J122" t="str">
        <f t="shared" ca="1" si="8"/>
        <v>insert into customer values ('C67', 'Ms. Wyatt Judd', 'M', 'S', 'North East', '124 Griggs Street', '695/341 8831');</v>
      </c>
    </row>
    <row r="123" spans="10:10" x14ac:dyDescent="0.15">
      <c r="J123" t="str">
        <f t="shared" ca="1" si="8"/>
        <v>insert into customer values ('C70', 'Mr. So Williams', 'F', 'S', 'South West', '87 Bahrens Avenue', '696/215 3513');</v>
      </c>
    </row>
    <row r="124" spans="10:10" x14ac:dyDescent="0.15">
      <c r="J124" t="str">
        <f t="shared" ca="1" si="8"/>
        <v>insert into customer values ('C72', 'Mr. Larissa Leach', 'F', 'N', 'East', '208 Maloney Avenue', '692/554 3135');</v>
      </c>
    </row>
    <row r="125" spans="10:10" x14ac:dyDescent="0.15">
      <c r="J125" t="str">
        <f t="shared" ca="1" si="8"/>
        <v>insert into customer values ('C76', 'Ms. Frederic Barber', 'M', 'S', 'East', '429 Hickey Lane', '692/230 6196');</v>
      </c>
    </row>
    <row r="126" spans="10:10" x14ac:dyDescent="0.15">
      <c r="J126" t="str">
        <f t="shared" ca="1" si="8"/>
        <v>insert into customer values ('C78', 'Mr. Shavon Kirkpatrick', 'F', 'N', 'South West', '82 Christopher Park', '692/264 7298');</v>
      </c>
    </row>
    <row r="127" spans="10:10" x14ac:dyDescent="0.15">
      <c r="J127" t="str">
        <f t="shared" ca="1" si="8"/>
        <v>insert into customer values ('C89', 'Ms. Marcellus Pyne', 'M', 'N', 'South', '479 Groves Square', '693/527 8343');</v>
      </c>
    </row>
    <row r="128" spans="10:10" x14ac:dyDescent="0.15">
      <c r="J128" t="str">
        <f t="shared" ca="1" si="8"/>
        <v>insert into customer values ('C90', 'Ms. Edwin Rhodes', 'M', 'B', 'South West', '96 Fowler Avenue', '690/267 9640');</v>
      </c>
    </row>
    <row r="129" spans="10:10" x14ac:dyDescent="0.15">
      <c r="J129" t="str">
        <f t="shared" ref="J129:J132" ca="1" si="9">insertinto(A98:G98,$J$26:$K$32,"customer")</f>
        <v>insert into customer values ('C94', 'Ms. Amos Zhang', 'M', 'P', 'West', '315 Connor Street', '694/479 1492');</v>
      </c>
    </row>
    <row r="130" spans="10:10" x14ac:dyDescent="0.15">
      <c r="J130" t="str">
        <f t="shared" ca="1" si="9"/>
        <v>insert into customer values ('C96', 'Mr. Klara Stockhausen', 'F', 'P', 'North West', '432 Larson Square', '695/138 4940');</v>
      </c>
    </row>
    <row r="131" spans="10:10" x14ac:dyDescent="0.15">
      <c r="J131" t="str">
        <f t="shared" ca="1" si="9"/>
        <v>insert into customer values ('C97', 'Mr. Verda Hollingsworth', 'F', 'G', 'West', '199 Keller Place', '693/145 2165');</v>
      </c>
    </row>
    <row r="132" spans="10:10" x14ac:dyDescent="0.15">
      <c r="J132" t="str">
        <f t="shared" ca="1" si="9"/>
        <v>insert into customer values ('C99', 'Ms. Neil Hays', 'M', 'P', 'North', '219 Bond Square', '699/815 4423');</v>
      </c>
    </row>
  </sheetData>
  <phoneticPr fontId="19" type="noConversion"/>
  <pageMargins left="0.75" right="0.75" top="1" bottom="1" header="0.5" footer="0.5"/>
  <headerFooter alignWithMargins="0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6"/>
  <sheetViews>
    <sheetView topLeftCell="A3" zoomScale="130" zoomScaleNormal="130" zoomScalePageLayoutView="130" workbookViewId="0">
      <selection activeCell="F8" sqref="F8:F11"/>
    </sheetView>
  </sheetViews>
  <sheetFormatPr baseColWidth="10" defaultRowHeight="13" x14ac:dyDescent="0.15"/>
  <cols>
    <col min="3" max="3" width="15.5" customWidth="1"/>
    <col min="6" max="6" width="12.83203125" bestFit="1" customWidth="1"/>
    <col min="8" max="8" width="11.6640625" bestFit="1" customWidth="1"/>
  </cols>
  <sheetData>
    <row r="1" spans="1:7" x14ac:dyDescent="0.15">
      <c r="A1" t="s">
        <v>4104</v>
      </c>
      <c r="B1" t="s">
        <v>4114</v>
      </c>
      <c r="C1" t="s">
        <v>4127</v>
      </c>
      <c r="D1" t="s">
        <v>4115</v>
      </c>
    </row>
    <row r="2" spans="1:7" x14ac:dyDescent="0.15">
      <c r="A2" t="s">
        <v>4132</v>
      </c>
      <c r="B2" t="s">
        <v>4132</v>
      </c>
      <c r="C2" t="s">
        <v>4173</v>
      </c>
      <c r="D2">
        <v>0</v>
      </c>
    </row>
    <row r="3" spans="1:7" x14ac:dyDescent="0.15">
      <c r="A3" t="s">
        <v>4165</v>
      </c>
      <c r="B3" t="s">
        <v>4131</v>
      </c>
      <c r="C3" t="s">
        <v>4129</v>
      </c>
      <c r="D3">
        <v>10</v>
      </c>
    </row>
    <row r="4" spans="1:7" x14ac:dyDescent="0.15">
      <c r="A4" t="s">
        <v>4166</v>
      </c>
      <c r="B4" t="s">
        <v>4131</v>
      </c>
      <c r="C4" t="s">
        <v>2364</v>
      </c>
      <c r="D4">
        <v>15</v>
      </c>
    </row>
    <row r="5" spans="1:7" x14ac:dyDescent="0.15">
      <c r="A5" t="s">
        <v>4167</v>
      </c>
      <c r="B5" t="s">
        <v>4131</v>
      </c>
      <c r="C5" t="s">
        <v>291</v>
      </c>
      <c r="D5">
        <v>20</v>
      </c>
    </row>
    <row r="6" spans="1:7" x14ac:dyDescent="0.15">
      <c r="A6" t="s">
        <v>4168</v>
      </c>
      <c r="B6" t="s">
        <v>4131</v>
      </c>
      <c r="C6" t="s">
        <v>4130</v>
      </c>
      <c r="D6">
        <v>25</v>
      </c>
    </row>
    <row r="7" spans="1:7" x14ac:dyDescent="0.15">
      <c r="F7" t="s">
        <v>4723</v>
      </c>
      <c r="G7" t="s">
        <v>4724</v>
      </c>
    </row>
    <row r="8" spans="1:7" x14ac:dyDescent="0.15">
      <c r="F8" t="s">
        <v>4677</v>
      </c>
      <c r="G8" t="s">
        <v>4681</v>
      </c>
    </row>
    <row r="9" spans="1:7" x14ac:dyDescent="0.15">
      <c r="F9" t="s">
        <v>4678</v>
      </c>
      <c r="G9" t="s">
        <v>4681</v>
      </c>
    </row>
    <row r="10" spans="1:7" x14ac:dyDescent="0.15">
      <c r="F10" t="s">
        <v>4679</v>
      </c>
      <c r="G10" t="s">
        <v>4681</v>
      </c>
    </row>
    <row r="11" spans="1:7" x14ac:dyDescent="0.15">
      <c r="F11" t="s">
        <v>4680</v>
      </c>
      <c r="G11" t="s">
        <v>4682</v>
      </c>
    </row>
    <row r="12" spans="1:7" x14ac:dyDescent="0.15">
      <c r="F12" t="str">
        <f>insertinto(A2:D2,$F$8:$G$11,"membership")</f>
        <v>insert into membership values ('N', 'N', 'None', 0);</v>
      </c>
    </row>
    <row r="13" spans="1:7" x14ac:dyDescent="0.15">
      <c r="F13" t="str">
        <f>insertinto(A3:D3,$F$8:$G$11,"membership")</f>
        <v>insert into membership values ('B', 'Y', 'Basic', 10);</v>
      </c>
    </row>
    <row r="14" spans="1:7" x14ac:dyDescent="0.15">
      <c r="F14" t="str">
        <f>insertinto(A4:D4,$F$8:$G$11,"membership")</f>
        <v>insert into membership values ('S', 'Y', 'Silver', 15);</v>
      </c>
    </row>
    <row r="15" spans="1:7" x14ac:dyDescent="0.15">
      <c r="F15" t="str">
        <f>insertinto(A5:D5,$F$8:$G$11,"membership")</f>
        <v>insert into membership values ('G', 'Y', 'Gold', 20);</v>
      </c>
    </row>
    <row r="16" spans="1:7" x14ac:dyDescent="0.15">
      <c r="F16" t="str">
        <f>insertinto(A6:D6,$F$8:$G$11,"membership")</f>
        <v>insert into membership values ('P', 'Y', 'Platinum', 25);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9"/>
  <sheetViews>
    <sheetView zoomScale="130" zoomScaleNormal="130" zoomScalePageLayoutView="130" workbookViewId="0">
      <selection activeCell="I14" sqref="I14:I19"/>
    </sheetView>
  </sheetViews>
  <sheetFormatPr baseColWidth="10" defaultRowHeight="13" x14ac:dyDescent="0.15"/>
  <cols>
    <col min="2" max="2" width="15" style="2" customWidth="1"/>
    <col min="3" max="3" width="12.5" style="2" customWidth="1"/>
    <col min="6" max="6" width="12.1640625" customWidth="1"/>
    <col min="7" max="7" width="11.6640625" customWidth="1"/>
    <col min="9" max="9" width="14.6640625" customWidth="1"/>
  </cols>
  <sheetData>
    <row r="1" spans="1:10" x14ac:dyDescent="0.15">
      <c r="A1" t="s">
        <v>4104</v>
      </c>
      <c r="B1" s="2" t="s">
        <v>4119</v>
      </c>
      <c r="C1" s="2" t="s">
        <v>4120</v>
      </c>
      <c r="D1" t="s">
        <v>4123</v>
      </c>
      <c r="E1" t="s">
        <v>4669</v>
      </c>
      <c r="F1" t="s">
        <v>4122</v>
      </c>
    </row>
    <row r="2" spans="1:10" x14ac:dyDescent="0.15">
      <c r="A2" t="s">
        <v>4222</v>
      </c>
      <c r="B2" s="2">
        <f t="shared" ref="B2:B21" ca="1" si="0">r_date(2016,1,2017,1)</f>
        <v>42448</v>
      </c>
      <c r="C2" s="2">
        <f ca="1">Table5[[#This Row],[DEP_DATE]]+r_integer(5,30)</f>
        <v>42475</v>
      </c>
      <c r="D2" t="str">
        <f ca="1">r_choice(Table9[ID])</f>
        <v>L20</v>
      </c>
      <c r="E2" t="str">
        <f ca="1">r_choice(Table7[ID])</f>
        <v>AC07</v>
      </c>
      <c r="F2" t="str">
        <f ca="1">r_choice(Table12[ID])</f>
        <v>T02</v>
      </c>
    </row>
    <row r="3" spans="1:10" x14ac:dyDescent="0.15">
      <c r="A3" t="s">
        <v>4223</v>
      </c>
      <c r="B3" s="2">
        <f t="shared" ca="1" si="0"/>
        <v>42404</v>
      </c>
      <c r="C3" s="2">
        <f ca="1">Table5[[#This Row],[DEP_DATE]]+r_integer(5,30)</f>
        <v>42424</v>
      </c>
      <c r="D3" t="str">
        <f ca="1">r_choice(Table9[ID])</f>
        <v>L09</v>
      </c>
      <c r="E3" t="str">
        <f ca="1">r_choice(Table7[ID])</f>
        <v>AC06</v>
      </c>
      <c r="F3" t="str">
        <f ca="1">r_choice(Table12[ID])</f>
        <v>T05</v>
      </c>
    </row>
    <row r="4" spans="1:10" x14ac:dyDescent="0.15">
      <c r="A4" t="s">
        <v>4224</v>
      </c>
      <c r="B4" s="2">
        <f t="shared" ca="1" si="0"/>
        <v>42587</v>
      </c>
      <c r="C4" s="2">
        <f ca="1">Table5[[#This Row],[DEP_DATE]]+r_integer(5,30)</f>
        <v>42614</v>
      </c>
      <c r="D4" t="str">
        <f ca="1">r_choice(Table9[ID])</f>
        <v>L10</v>
      </c>
      <c r="E4" t="str">
        <f ca="1">r_choice(Table7[ID])</f>
        <v>AC03</v>
      </c>
      <c r="F4" t="str">
        <f ca="1">r_choice(Table12[ID])</f>
        <v>T05</v>
      </c>
    </row>
    <row r="5" spans="1:10" x14ac:dyDescent="0.15">
      <c r="A5" t="s">
        <v>4225</v>
      </c>
      <c r="B5" s="2">
        <f t="shared" ca="1" si="0"/>
        <v>42426</v>
      </c>
      <c r="C5" s="2">
        <f ca="1">Table5[[#This Row],[DEP_DATE]]+r_integer(5,30)</f>
        <v>42438</v>
      </c>
      <c r="D5" t="str">
        <f ca="1">r_choice(Table9[ID])</f>
        <v>L19</v>
      </c>
      <c r="E5" t="str">
        <f ca="1">r_choice(Table7[ID])</f>
        <v>AC05</v>
      </c>
      <c r="F5" t="str">
        <f ca="1">r_choice(Table12[ID])</f>
        <v>T03</v>
      </c>
    </row>
    <row r="6" spans="1:10" x14ac:dyDescent="0.15">
      <c r="A6" t="s">
        <v>4226</v>
      </c>
      <c r="B6" s="2">
        <f t="shared" ca="1" si="0"/>
        <v>42507</v>
      </c>
      <c r="C6" s="2">
        <f ca="1">Table5[[#This Row],[DEP_DATE]]+r_integer(5,30)</f>
        <v>42537</v>
      </c>
      <c r="D6" t="str">
        <f ca="1">r_choice(Table9[ID])</f>
        <v>L05</v>
      </c>
      <c r="E6" t="str">
        <f ca="1">r_choice(Table7[ID])</f>
        <v>AC05</v>
      </c>
      <c r="F6" t="str">
        <f ca="1">r_choice(Table12[ID])</f>
        <v>T01</v>
      </c>
    </row>
    <row r="7" spans="1:10" x14ac:dyDescent="0.15">
      <c r="A7" t="s">
        <v>4227</v>
      </c>
      <c r="B7" s="2">
        <f t="shared" ca="1" si="0"/>
        <v>42406</v>
      </c>
      <c r="C7" s="2">
        <f ca="1">Table5[[#This Row],[DEP_DATE]]+r_integer(5,30)</f>
        <v>42427</v>
      </c>
      <c r="D7" t="str">
        <f ca="1">r_choice(Table9[ID])</f>
        <v>L19</v>
      </c>
      <c r="E7" t="str">
        <f ca="1">r_choice(Table7[ID])</f>
        <v>AC01</v>
      </c>
      <c r="F7" t="str">
        <f ca="1">r_choice(Table12[ID])</f>
        <v>T03</v>
      </c>
    </row>
    <row r="8" spans="1:10" x14ac:dyDescent="0.15">
      <c r="A8" t="s">
        <v>4228</v>
      </c>
      <c r="B8" s="2">
        <f t="shared" ca="1" si="0"/>
        <v>42473</v>
      </c>
      <c r="C8" s="2">
        <f ca="1">Table5[[#This Row],[DEP_DATE]]+r_integer(5,30)</f>
        <v>42480</v>
      </c>
      <c r="D8" t="str">
        <f ca="1">r_choice(Table9[ID])</f>
        <v>L19</v>
      </c>
      <c r="E8" t="str">
        <f ca="1">r_choice(Table7[ID])</f>
        <v>AC02</v>
      </c>
      <c r="F8" t="str">
        <f ca="1">r_choice(Table12[ID])</f>
        <v>T05</v>
      </c>
    </row>
    <row r="9" spans="1:10" x14ac:dyDescent="0.15">
      <c r="A9" t="s">
        <v>4229</v>
      </c>
      <c r="B9" s="2">
        <f t="shared" ca="1" si="0"/>
        <v>42445</v>
      </c>
      <c r="C9" s="2">
        <f ca="1">Table5[[#This Row],[DEP_DATE]]+r_integer(5,30)</f>
        <v>42472</v>
      </c>
      <c r="D9" t="str">
        <f ca="1">r_choice(Table9[ID])</f>
        <v>L22</v>
      </c>
      <c r="E9" t="str">
        <f ca="1">r_choice(Table7[ID])</f>
        <v>AC02</v>
      </c>
      <c r="F9" t="str">
        <f ca="1">r_choice(Table12[ID])</f>
        <v>T05</v>
      </c>
    </row>
    <row r="10" spans="1:10" x14ac:dyDescent="0.15">
      <c r="A10" t="s">
        <v>4230</v>
      </c>
      <c r="B10" s="2">
        <f t="shared" ca="1" si="0"/>
        <v>42372</v>
      </c>
      <c r="C10" s="2">
        <f ca="1">Table5[[#This Row],[DEP_DATE]]+r_integer(5,30)</f>
        <v>42389</v>
      </c>
      <c r="D10" t="str">
        <f ca="1">r_choice(Table9[ID])</f>
        <v>L11</v>
      </c>
      <c r="E10" t="str">
        <f ca="1">r_choice(Table7[ID])</f>
        <v>AC04</v>
      </c>
      <c r="F10" t="str">
        <f ca="1">r_choice(Table12[ID])</f>
        <v>T06</v>
      </c>
    </row>
    <row r="11" spans="1:10" x14ac:dyDescent="0.15">
      <c r="A11" t="s">
        <v>4231</v>
      </c>
      <c r="B11" s="2">
        <f t="shared" ca="1" si="0"/>
        <v>42556</v>
      </c>
      <c r="C11" s="2">
        <f ca="1">Table5[[#This Row],[DEP_DATE]]+r_integer(5,30)</f>
        <v>42561</v>
      </c>
      <c r="D11" t="str">
        <f ca="1">r_choice(Table9[ID])</f>
        <v>L07</v>
      </c>
      <c r="E11" t="str">
        <f ca="1">r_choice(Table7[ID])</f>
        <v>AC01</v>
      </c>
      <c r="F11" t="str">
        <f ca="1">r_choice(Table12[ID])</f>
        <v>T04</v>
      </c>
    </row>
    <row r="12" spans="1:10" x14ac:dyDescent="0.15">
      <c r="A12" t="s">
        <v>4232</v>
      </c>
      <c r="B12" s="2">
        <f t="shared" ca="1" si="0"/>
        <v>42634</v>
      </c>
      <c r="C12" s="2">
        <f ca="1">Table5[[#This Row],[DEP_DATE]]+r_integer(5,30)</f>
        <v>42651</v>
      </c>
      <c r="D12" t="str">
        <f ca="1">r_choice(Table9[ID])</f>
        <v>L01</v>
      </c>
      <c r="E12" t="str">
        <f ca="1">r_choice(Table7[ID])</f>
        <v>AC06</v>
      </c>
      <c r="F12" t="str">
        <f ca="1">r_choice(Table12[ID])</f>
        <v>T02</v>
      </c>
    </row>
    <row r="13" spans="1:10" x14ac:dyDescent="0.15">
      <c r="A13" t="s">
        <v>4233</v>
      </c>
      <c r="B13" s="2">
        <f t="shared" ca="1" si="0"/>
        <v>42564</v>
      </c>
      <c r="C13" s="2">
        <f ca="1">Table5[[#This Row],[DEP_DATE]]+r_integer(5,30)</f>
        <v>42584</v>
      </c>
      <c r="D13" t="str">
        <f ca="1">r_choice(Table9[ID])</f>
        <v>L07</v>
      </c>
      <c r="E13" t="str">
        <f ca="1">r_choice(Table7[ID])</f>
        <v>AC04</v>
      </c>
      <c r="F13" t="str">
        <f ca="1">r_choice(Table12[ID])</f>
        <v>T02</v>
      </c>
      <c r="I13" t="s">
        <v>4723</v>
      </c>
      <c r="J13" t="s">
        <v>4724</v>
      </c>
    </row>
    <row r="14" spans="1:10" x14ac:dyDescent="0.15">
      <c r="A14" t="s">
        <v>4234</v>
      </c>
      <c r="B14" s="2">
        <f t="shared" ca="1" si="0"/>
        <v>42685</v>
      </c>
      <c r="C14" s="2">
        <f ca="1">Table5[[#This Row],[DEP_DATE]]+r_integer(5,30)</f>
        <v>42699</v>
      </c>
      <c r="D14" t="str">
        <f ca="1">r_choice(Table9[ID])</f>
        <v>L15</v>
      </c>
      <c r="E14" t="str">
        <f ca="1">r_choice(Table7[ID])</f>
        <v>AC04</v>
      </c>
      <c r="F14" t="str">
        <f ca="1">r_choice(Table12[ID])</f>
        <v>T05</v>
      </c>
      <c r="I14" t="s">
        <v>4683</v>
      </c>
      <c r="J14" t="s">
        <v>4681</v>
      </c>
    </row>
    <row r="15" spans="1:10" x14ac:dyDescent="0.15">
      <c r="A15" t="s">
        <v>4235</v>
      </c>
      <c r="B15" s="2">
        <f t="shared" ca="1" si="0"/>
        <v>42722</v>
      </c>
      <c r="C15" s="2">
        <f ca="1">Table5[[#This Row],[DEP_DATE]]+r_integer(5,30)</f>
        <v>42735</v>
      </c>
      <c r="D15" t="str">
        <f ca="1">r_choice(Table9[ID])</f>
        <v>L02</v>
      </c>
      <c r="E15" t="str">
        <f ca="1">r_choice(Table7[ID])</f>
        <v>AC02</v>
      </c>
      <c r="F15" t="str">
        <f ca="1">r_choice(Table12[ID])</f>
        <v>T04</v>
      </c>
      <c r="I15" t="s">
        <v>4684</v>
      </c>
      <c r="J15" t="s">
        <v>4686</v>
      </c>
    </row>
    <row r="16" spans="1:10" x14ac:dyDescent="0.15">
      <c r="A16" t="s">
        <v>4236</v>
      </c>
      <c r="B16" s="2">
        <f t="shared" ca="1" si="0"/>
        <v>42380</v>
      </c>
      <c r="C16" s="2">
        <f ca="1">Table5[[#This Row],[DEP_DATE]]+r_integer(5,30)</f>
        <v>42392</v>
      </c>
      <c r="D16" t="str">
        <f ca="1">r_choice(Table9[ID])</f>
        <v>L17</v>
      </c>
      <c r="E16" t="str">
        <f ca="1">r_choice(Table7[ID])</f>
        <v>AC01</v>
      </c>
      <c r="F16" t="str">
        <f ca="1">r_choice(Table12[ID])</f>
        <v>T04</v>
      </c>
      <c r="I16" t="s">
        <v>4685</v>
      </c>
      <c r="J16" t="s">
        <v>4686</v>
      </c>
    </row>
    <row r="17" spans="1:10" x14ac:dyDescent="0.15">
      <c r="A17" t="s">
        <v>4614</v>
      </c>
      <c r="B17" s="2">
        <f t="shared" ca="1" si="0"/>
        <v>42734</v>
      </c>
      <c r="C17" s="2">
        <f ca="1">Table5[[#This Row],[DEP_DATE]]+r_integer(5,30)</f>
        <v>42752</v>
      </c>
      <c r="D17" s="3" t="str">
        <f ca="1">r_choice(Table9[ID])</f>
        <v>L04</v>
      </c>
      <c r="E17" s="3" t="str">
        <f ca="1">r_choice(Table7[ID])</f>
        <v>AC04</v>
      </c>
      <c r="F17" s="3" t="str">
        <f ca="1">r_choice(Table12[ID])</f>
        <v>T04</v>
      </c>
      <c r="I17" t="s">
        <v>4692</v>
      </c>
      <c r="J17" t="s">
        <v>4681</v>
      </c>
    </row>
    <row r="18" spans="1:10" x14ac:dyDescent="0.15">
      <c r="A18" t="s">
        <v>4615</v>
      </c>
      <c r="B18" s="2">
        <f t="shared" ca="1" si="0"/>
        <v>42462</v>
      </c>
      <c r="C18" s="2">
        <f ca="1">Table5[[#This Row],[DEP_DATE]]+r_integer(5,30)</f>
        <v>42481</v>
      </c>
      <c r="D18" s="3" t="str">
        <f ca="1">r_choice(Table9[ID])</f>
        <v>L23</v>
      </c>
      <c r="E18" s="3" t="str">
        <f ca="1">r_choice(Table7[ID])</f>
        <v>AC04</v>
      </c>
      <c r="F18" s="3" t="str">
        <f ca="1">r_choice(Table12[ID])</f>
        <v>T05</v>
      </c>
      <c r="I18" t="s">
        <v>4696</v>
      </c>
      <c r="J18" t="s">
        <v>4681</v>
      </c>
    </row>
    <row r="19" spans="1:10" x14ac:dyDescent="0.15">
      <c r="A19" t="s">
        <v>4616</v>
      </c>
      <c r="B19" s="2">
        <f t="shared" ca="1" si="0"/>
        <v>42543</v>
      </c>
      <c r="C19" s="2">
        <f ca="1">Table5[[#This Row],[DEP_DATE]]+r_integer(5,30)</f>
        <v>42561</v>
      </c>
      <c r="D19" s="3" t="str">
        <f ca="1">r_choice(Table9[ID])</f>
        <v>L17</v>
      </c>
      <c r="E19" s="3" t="str">
        <f ca="1">r_choice(Table7[ID])</f>
        <v>AC01</v>
      </c>
      <c r="F19" s="3" t="str">
        <f ca="1">r_choice(Table12[ID])</f>
        <v>T03</v>
      </c>
      <c r="I19" t="s">
        <v>4687</v>
      </c>
      <c r="J19" t="s">
        <v>4681</v>
      </c>
    </row>
    <row r="20" spans="1:10" x14ac:dyDescent="0.15">
      <c r="A20" t="s">
        <v>4617</v>
      </c>
      <c r="B20" s="2">
        <f t="shared" ca="1" si="0"/>
        <v>42697</v>
      </c>
      <c r="C20" s="2">
        <f ca="1">Table5[[#This Row],[DEP_DATE]]+r_integer(5,30)</f>
        <v>42718</v>
      </c>
      <c r="D20" s="3" t="str">
        <f ca="1">r_choice(Table9[ID])</f>
        <v>L15</v>
      </c>
      <c r="E20" s="3" t="str">
        <f ca="1">r_choice(Table7[ID])</f>
        <v>AC01</v>
      </c>
      <c r="F20" s="3" t="str">
        <f ca="1">r_choice(Table12[ID])</f>
        <v>T01</v>
      </c>
      <c r="I20" t="str">
        <f t="shared" ref="I20:I39" ca="1" si="1">insertinto(A2:F2,$I$14:$I$19,"excursion")</f>
        <v>insert into excursion values ('E01', '19-Mar-2016', '15-Apr-2016', 'L20', 'AC07', 'T02');</v>
      </c>
    </row>
    <row r="21" spans="1:10" x14ac:dyDescent="0.15">
      <c r="A21" t="s">
        <v>4618</v>
      </c>
      <c r="B21" s="2">
        <f t="shared" ca="1" si="0"/>
        <v>42687</v>
      </c>
      <c r="C21" s="2">
        <f ca="1">Table5[[#This Row],[DEP_DATE]]+r_integer(5,30)</f>
        <v>42710</v>
      </c>
      <c r="D21" s="3" t="str">
        <f ca="1">r_choice(Table9[ID])</f>
        <v>L08</v>
      </c>
      <c r="E21" s="3" t="str">
        <f ca="1">r_choice(Table7[ID])</f>
        <v>AC06</v>
      </c>
      <c r="F21" s="3" t="str">
        <f ca="1">r_choice(Table12[ID])</f>
        <v>T06</v>
      </c>
      <c r="I21" t="str">
        <f t="shared" ca="1" si="1"/>
        <v>insert into excursion values ('E02', '04-Feb-2016', '24-Feb-2016', 'L09', 'AC06', 'T05');</v>
      </c>
    </row>
    <row r="22" spans="1:10" x14ac:dyDescent="0.15">
      <c r="I22" t="str">
        <f t="shared" ca="1" si="1"/>
        <v>insert into excursion values ('E03', '05-Aug-2016', '01-Sep-2016', 'L10', 'AC03', 'T05');</v>
      </c>
    </row>
    <row r="23" spans="1:10" x14ac:dyDescent="0.15">
      <c r="I23" t="str">
        <f t="shared" ca="1" si="1"/>
        <v>insert into excursion values ('E04', '26-Feb-2016', '09-Mar-2016', 'L19', 'AC05', 'T03');</v>
      </c>
    </row>
    <row r="24" spans="1:10" x14ac:dyDescent="0.15">
      <c r="I24" t="str">
        <f t="shared" ca="1" si="1"/>
        <v>insert into excursion values ('E05', '17-May-2016', '16-Jun-2016', 'L05', 'AC05', 'T01');</v>
      </c>
    </row>
    <row r="25" spans="1:10" x14ac:dyDescent="0.15">
      <c r="I25" t="str">
        <f t="shared" ca="1" si="1"/>
        <v>insert into excursion values ('E06', '06-Feb-2016', '27-Feb-2016', 'L19', 'AC01', 'T03');</v>
      </c>
    </row>
    <row r="26" spans="1:10" x14ac:dyDescent="0.15">
      <c r="I26" t="str">
        <f t="shared" ca="1" si="1"/>
        <v>insert into excursion values ('E07', '13-Apr-2016', '20-Apr-2016', 'L19', 'AC02', 'T05');</v>
      </c>
    </row>
    <row r="27" spans="1:10" x14ac:dyDescent="0.15">
      <c r="I27" t="str">
        <f t="shared" ca="1" si="1"/>
        <v>insert into excursion values ('E08', '16-Mar-2016', '12-Apr-2016', 'L22', 'AC02', 'T05');</v>
      </c>
    </row>
    <row r="28" spans="1:10" x14ac:dyDescent="0.15">
      <c r="I28" t="str">
        <f t="shared" ca="1" si="1"/>
        <v>insert into excursion values ('E09', '03-Jan-2016', '20-Jan-2016', 'L11', 'AC04', 'T06');</v>
      </c>
    </row>
    <row r="29" spans="1:10" x14ac:dyDescent="0.15">
      <c r="I29" t="str">
        <f t="shared" ca="1" si="1"/>
        <v>insert into excursion values ('E10', '05-Jul-2016', '10-Jul-2016', 'L07', 'AC01', 'T04');</v>
      </c>
    </row>
    <row r="30" spans="1:10" x14ac:dyDescent="0.15">
      <c r="I30" t="str">
        <f t="shared" ca="1" si="1"/>
        <v>insert into excursion values ('E11', '21-Sep-2016', '08-Oct-2016', 'L01', 'AC06', 'T02');</v>
      </c>
    </row>
    <row r="31" spans="1:10" x14ac:dyDescent="0.15">
      <c r="I31" t="str">
        <f t="shared" ca="1" si="1"/>
        <v>insert into excursion values ('E12', '13-Jul-2016', '02-Aug-2016', 'L07', 'AC04', 'T02');</v>
      </c>
    </row>
    <row r="32" spans="1:10" x14ac:dyDescent="0.15">
      <c r="I32" t="str">
        <f t="shared" ca="1" si="1"/>
        <v>insert into excursion values ('E13', '11-Nov-2016', '25-Nov-2016', 'L15', 'AC04', 'T05');</v>
      </c>
    </row>
    <row r="33" spans="9:9" x14ac:dyDescent="0.15">
      <c r="I33" t="str">
        <f t="shared" ca="1" si="1"/>
        <v>insert into excursion values ('E14', '18-Dec-2016', '31-Dec-2016', 'L02', 'AC02', 'T04');</v>
      </c>
    </row>
    <row r="34" spans="9:9" x14ac:dyDescent="0.15">
      <c r="I34" t="str">
        <f t="shared" ca="1" si="1"/>
        <v>insert into excursion values ('E15', '11-Jan-2016', '23-Jan-2016', 'L17', 'AC01', 'T04');</v>
      </c>
    </row>
    <row r="35" spans="9:9" x14ac:dyDescent="0.15">
      <c r="I35" t="str">
        <f t="shared" ca="1" si="1"/>
        <v>insert into excursion values ('E16', '30-Dec-2016', '17-Jan-2017', 'L04', 'AC04', 'T04');</v>
      </c>
    </row>
    <row r="36" spans="9:9" x14ac:dyDescent="0.15">
      <c r="I36" t="str">
        <f t="shared" ca="1" si="1"/>
        <v>insert into excursion values ('E17', '02-Apr-2016', '21-Apr-2016', 'L23', 'AC04', 'T05');</v>
      </c>
    </row>
    <row r="37" spans="9:9" x14ac:dyDescent="0.15">
      <c r="I37" t="str">
        <f t="shared" ca="1" si="1"/>
        <v>insert into excursion values ('E18', '22-Jun-2016', '10-Jul-2016', 'L17', 'AC01', 'T03');</v>
      </c>
    </row>
    <row r="38" spans="9:9" x14ac:dyDescent="0.15">
      <c r="I38" t="str">
        <f t="shared" ca="1" si="1"/>
        <v>insert into excursion values ('E19', '23-Nov-2016', '14-Dec-2016', 'L15', 'AC01', 'T01');</v>
      </c>
    </row>
    <row r="39" spans="9:9" x14ac:dyDescent="0.15">
      <c r="I39" t="str">
        <f t="shared" ca="1" si="1"/>
        <v>insert into excursion values ('E20', '13-Nov-2016', '06-Dec-2016', 'L08', 'AC06', 'T06');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zoomScale="130" zoomScaleNormal="130" zoomScalePageLayoutView="130" workbookViewId="0">
      <selection activeCell="E9" sqref="E9:E11"/>
    </sheetView>
  </sheetViews>
  <sheetFormatPr baseColWidth="10" defaultRowHeight="13" x14ac:dyDescent="0.15"/>
  <sheetData>
    <row r="1" spans="1:6" x14ac:dyDescent="0.15">
      <c r="A1" t="s">
        <v>4104</v>
      </c>
      <c r="B1" t="s">
        <v>4127</v>
      </c>
      <c r="C1" t="s">
        <v>4121</v>
      </c>
    </row>
    <row r="2" spans="1:6" x14ac:dyDescent="0.15">
      <c r="A2" t="s">
        <v>4670</v>
      </c>
      <c r="B2" s="1" t="s">
        <v>4135</v>
      </c>
      <c r="C2">
        <f t="shared" ref="C2:C7" ca="1" si="0">r_integer(200,500)</f>
        <v>364</v>
      </c>
    </row>
    <row r="3" spans="1:6" x14ac:dyDescent="0.15">
      <c r="A3" t="s">
        <v>4671</v>
      </c>
      <c r="B3" s="1" t="s">
        <v>4136</v>
      </c>
      <c r="C3">
        <f t="shared" ca="1" si="0"/>
        <v>429</v>
      </c>
    </row>
    <row r="4" spans="1:6" x14ac:dyDescent="0.15">
      <c r="A4" t="s">
        <v>4672</v>
      </c>
      <c r="B4" s="1" t="s">
        <v>4137</v>
      </c>
      <c r="C4">
        <f t="shared" ca="1" si="0"/>
        <v>360</v>
      </c>
    </row>
    <row r="5" spans="1:6" x14ac:dyDescent="0.15">
      <c r="A5" t="s">
        <v>4673</v>
      </c>
      <c r="B5" s="1" t="s">
        <v>4138</v>
      </c>
      <c r="C5">
        <f t="shared" ca="1" si="0"/>
        <v>447</v>
      </c>
    </row>
    <row r="6" spans="1:6" x14ac:dyDescent="0.15">
      <c r="A6" t="s">
        <v>4674</v>
      </c>
      <c r="B6" s="1" t="s">
        <v>4139</v>
      </c>
      <c r="C6">
        <f t="shared" ca="1" si="0"/>
        <v>373</v>
      </c>
    </row>
    <row r="7" spans="1:6" x14ac:dyDescent="0.15">
      <c r="A7" t="s">
        <v>4675</v>
      </c>
      <c r="B7" s="1" t="s">
        <v>4134</v>
      </c>
      <c r="C7" s="3">
        <f t="shared" ca="1" si="0"/>
        <v>240</v>
      </c>
    </row>
    <row r="8" spans="1:6" x14ac:dyDescent="0.15">
      <c r="B8" s="1"/>
      <c r="C8" s="3"/>
      <c r="E8" t="s">
        <v>4723</v>
      </c>
      <c r="F8" t="s">
        <v>4724</v>
      </c>
    </row>
    <row r="9" spans="1:6" x14ac:dyDescent="0.15">
      <c r="E9" t="s">
        <v>4687</v>
      </c>
      <c r="F9" t="s">
        <v>4690</v>
      </c>
    </row>
    <row r="10" spans="1:6" x14ac:dyDescent="0.15">
      <c r="E10" t="s">
        <v>4688</v>
      </c>
      <c r="F10" t="s">
        <v>4690</v>
      </c>
    </row>
    <row r="11" spans="1:6" x14ac:dyDescent="0.15">
      <c r="E11" t="s">
        <v>4689</v>
      </c>
      <c r="F11" t="s">
        <v>4691</v>
      </c>
    </row>
    <row r="12" spans="1:6" x14ac:dyDescent="0.15">
      <c r="E12" t="str">
        <f t="shared" ref="E12:E17" ca="1" si="1">insertinto(A2:C2,$E$9:$F$11,"transport")</f>
        <v>insert into transport values ('T01', 'Bus', 364);</v>
      </c>
    </row>
    <row r="13" spans="1:6" x14ac:dyDescent="0.15">
      <c r="E13" t="str">
        <f t="shared" ca="1" si="1"/>
        <v>insert into transport values ('T02', 'Train', 429);</v>
      </c>
    </row>
    <row r="14" spans="1:6" x14ac:dyDescent="0.15">
      <c r="E14" t="str">
        <f t="shared" ca="1" si="1"/>
        <v>insert into transport values ('T03', 'Mini Van', 360);</v>
      </c>
    </row>
    <row r="15" spans="1:6" x14ac:dyDescent="0.15">
      <c r="E15" t="str">
        <f t="shared" ca="1" si="1"/>
        <v>insert into transport values ('T04', 'Boat', 447);</v>
      </c>
    </row>
    <row r="16" spans="1:6" x14ac:dyDescent="0.15">
      <c r="E16" t="str">
        <f t="shared" ca="1" si="1"/>
        <v>insert into transport values ('T05', 'Car', 373);</v>
      </c>
    </row>
    <row r="17" spans="5:5" x14ac:dyDescent="0.15">
      <c r="E17" t="str">
        <f t="shared" ca="1" si="1"/>
        <v>insert into transport values ('T06', 'Airplane', 240);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0"/>
  <sheetViews>
    <sheetView zoomScale="130" zoomScaleNormal="130" zoomScalePageLayoutView="130" workbookViewId="0">
      <selection activeCell="I24" sqref="I24:I27"/>
    </sheetView>
  </sheetViews>
  <sheetFormatPr baseColWidth="10" defaultRowHeight="13" x14ac:dyDescent="0.15"/>
  <cols>
    <col min="2" max="2" width="13.1640625" bestFit="1" customWidth="1"/>
    <col min="6" max="6" width="13.1640625" bestFit="1" customWidth="1"/>
  </cols>
  <sheetData>
    <row r="1" spans="1:8" x14ac:dyDescent="0.15">
      <c r="A1" t="s">
        <v>4104</v>
      </c>
      <c r="B1" t="s">
        <v>4126</v>
      </c>
      <c r="C1" t="s">
        <v>4127</v>
      </c>
      <c r="D1" t="s">
        <v>4121</v>
      </c>
    </row>
    <row r="2" spans="1:8" x14ac:dyDescent="0.15">
      <c r="A2" t="s">
        <v>4178</v>
      </c>
      <c r="B2" t="s">
        <v>4140</v>
      </c>
      <c r="C2" t="s">
        <v>4151</v>
      </c>
      <c r="D2">
        <f t="shared" ref="D2:D24" ca="1" si="0">r_integer(200,500)</f>
        <v>253</v>
      </c>
    </row>
    <row r="3" spans="1:8" x14ac:dyDescent="0.15">
      <c r="A3" t="s">
        <v>4179</v>
      </c>
      <c r="B3" t="s">
        <v>4141</v>
      </c>
      <c r="C3" t="s">
        <v>4151</v>
      </c>
      <c r="D3">
        <f t="shared" ca="1" si="0"/>
        <v>331</v>
      </c>
    </row>
    <row r="4" spans="1:8" x14ac:dyDescent="0.15">
      <c r="A4" t="s">
        <v>4180</v>
      </c>
      <c r="B4" t="s">
        <v>4142</v>
      </c>
      <c r="C4" t="s">
        <v>4151</v>
      </c>
      <c r="D4">
        <f t="shared" ca="1" si="0"/>
        <v>341</v>
      </c>
    </row>
    <row r="5" spans="1:8" x14ac:dyDescent="0.15">
      <c r="A5" t="s">
        <v>4181</v>
      </c>
      <c r="B5" t="s">
        <v>4143</v>
      </c>
      <c r="C5" t="s">
        <v>4151</v>
      </c>
      <c r="D5">
        <f t="shared" ca="1" si="0"/>
        <v>217</v>
      </c>
    </row>
    <row r="6" spans="1:8" x14ac:dyDescent="0.15">
      <c r="A6" t="s">
        <v>4182</v>
      </c>
      <c r="B6" t="s">
        <v>4144</v>
      </c>
      <c r="C6" t="s">
        <v>4151</v>
      </c>
      <c r="D6">
        <f t="shared" ca="1" si="0"/>
        <v>473</v>
      </c>
    </row>
    <row r="7" spans="1:8" x14ac:dyDescent="0.15">
      <c r="A7" t="s">
        <v>4183</v>
      </c>
      <c r="B7" t="s">
        <v>4145</v>
      </c>
      <c r="C7" t="s">
        <v>4151</v>
      </c>
      <c r="D7">
        <f t="shared" ca="1" si="0"/>
        <v>336</v>
      </c>
    </row>
    <row r="8" spans="1:8" x14ac:dyDescent="0.15">
      <c r="A8" t="s">
        <v>4184</v>
      </c>
      <c r="B8" t="s">
        <v>4146</v>
      </c>
      <c r="C8" t="s">
        <v>4151</v>
      </c>
      <c r="D8">
        <f t="shared" ca="1" si="0"/>
        <v>416</v>
      </c>
    </row>
    <row r="9" spans="1:8" ht="15" x14ac:dyDescent="0.2">
      <c r="A9" t="s">
        <v>4185</v>
      </c>
      <c r="B9" t="s">
        <v>4148</v>
      </c>
      <c r="C9" t="s">
        <v>4149</v>
      </c>
      <c r="D9">
        <f t="shared" ca="1" si="0"/>
        <v>397</v>
      </c>
      <c r="E9" s="5" t="s">
        <v>4151</v>
      </c>
      <c r="F9" s="5" t="s">
        <v>4149</v>
      </c>
      <c r="G9" s="5" t="s">
        <v>4150</v>
      </c>
      <c r="H9" s="5" t="s">
        <v>4152</v>
      </c>
    </row>
    <row r="10" spans="1:8" x14ac:dyDescent="0.15">
      <c r="A10" t="s">
        <v>4186</v>
      </c>
      <c r="B10" t="s">
        <v>4162</v>
      </c>
      <c r="C10" t="s">
        <v>4149</v>
      </c>
      <c r="D10">
        <f t="shared" ca="1" si="0"/>
        <v>304</v>
      </c>
      <c r="E10" t="s">
        <v>4140</v>
      </c>
      <c r="F10" t="s">
        <v>4148</v>
      </c>
      <c r="G10" t="s">
        <v>4153</v>
      </c>
      <c r="H10" t="s">
        <v>4147</v>
      </c>
    </row>
    <row r="11" spans="1:8" x14ac:dyDescent="0.15">
      <c r="A11" t="s">
        <v>4187</v>
      </c>
      <c r="B11" t="s">
        <v>4163</v>
      </c>
      <c r="C11" t="s">
        <v>4149</v>
      </c>
      <c r="D11">
        <f t="shared" ca="1" si="0"/>
        <v>414</v>
      </c>
      <c r="E11" t="s">
        <v>4141</v>
      </c>
      <c r="F11" t="s">
        <v>4162</v>
      </c>
      <c r="G11" t="s">
        <v>2810</v>
      </c>
      <c r="H11" t="s">
        <v>4158</v>
      </c>
    </row>
    <row r="12" spans="1:8" x14ac:dyDescent="0.15">
      <c r="A12" t="s">
        <v>4188</v>
      </c>
      <c r="B12" t="s">
        <v>4164</v>
      </c>
      <c r="C12" t="s">
        <v>4149</v>
      </c>
      <c r="D12">
        <f t="shared" ca="1" si="0"/>
        <v>347</v>
      </c>
      <c r="E12" t="s">
        <v>4142</v>
      </c>
      <c r="F12" t="s">
        <v>4163</v>
      </c>
      <c r="G12" t="s">
        <v>4154</v>
      </c>
      <c r="H12" t="s">
        <v>4159</v>
      </c>
    </row>
    <row r="13" spans="1:8" x14ac:dyDescent="0.15">
      <c r="A13" t="s">
        <v>4189</v>
      </c>
      <c r="B13" t="s">
        <v>4153</v>
      </c>
      <c r="C13" t="s">
        <v>2494</v>
      </c>
      <c r="D13">
        <f t="shared" ca="1" si="0"/>
        <v>491</v>
      </c>
      <c r="E13" t="s">
        <v>4143</v>
      </c>
      <c r="F13" t="s">
        <v>4164</v>
      </c>
      <c r="G13" t="s">
        <v>4155</v>
      </c>
      <c r="H13" t="s">
        <v>4160</v>
      </c>
    </row>
    <row r="14" spans="1:8" x14ac:dyDescent="0.15">
      <c r="A14" t="s">
        <v>4190</v>
      </c>
      <c r="B14" t="s">
        <v>2810</v>
      </c>
      <c r="C14" t="s">
        <v>2494</v>
      </c>
      <c r="D14">
        <f t="shared" ca="1" si="0"/>
        <v>434</v>
      </c>
      <c r="E14" t="s">
        <v>4144</v>
      </c>
      <c r="G14" t="s">
        <v>4056</v>
      </c>
      <c r="H14" t="s">
        <v>4161</v>
      </c>
    </row>
    <row r="15" spans="1:8" x14ac:dyDescent="0.15">
      <c r="A15" t="s">
        <v>4191</v>
      </c>
      <c r="B15" t="s">
        <v>4154</v>
      </c>
      <c r="C15" t="s">
        <v>2494</v>
      </c>
      <c r="D15">
        <f t="shared" ca="1" si="0"/>
        <v>365</v>
      </c>
      <c r="E15" t="s">
        <v>4145</v>
      </c>
      <c r="G15" t="s">
        <v>4156</v>
      </c>
    </row>
    <row r="16" spans="1:8" x14ac:dyDescent="0.15">
      <c r="A16" t="s">
        <v>4192</v>
      </c>
      <c r="B16" t="s">
        <v>4155</v>
      </c>
      <c r="C16" t="s">
        <v>2494</v>
      </c>
      <c r="D16">
        <f t="shared" ca="1" si="0"/>
        <v>447</v>
      </c>
      <c r="E16" t="s">
        <v>4146</v>
      </c>
      <c r="G16" t="s">
        <v>4157</v>
      </c>
    </row>
    <row r="17" spans="1:10" x14ac:dyDescent="0.15">
      <c r="A17" t="s">
        <v>4193</v>
      </c>
      <c r="B17" t="s">
        <v>4056</v>
      </c>
      <c r="C17" t="s">
        <v>2494</v>
      </c>
      <c r="D17">
        <f t="shared" ca="1" si="0"/>
        <v>410</v>
      </c>
    </row>
    <row r="18" spans="1:10" x14ac:dyDescent="0.15">
      <c r="A18" t="s">
        <v>4194</v>
      </c>
      <c r="B18" t="s">
        <v>4156</v>
      </c>
      <c r="C18" t="s">
        <v>2494</v>
      </c>
      <c r="D18">
        <f t="shared" ca="1" si="0"/>
        <v>400</v>
      </c>
    </row>
    <row r="19" spans="1:10" x14ac:dyDescent="0.15">
      <c r="A19" t="s">
        <v>4195</v>
      </c>
      <c r="B19" t="s">
        <v>4157</v>
      </c>
      <c r="C19" t="s">
        <v>2494</v>
      </c>
      <c r="D19">
        <f t="shared" ca="1" si="0"/>
        <v>472</v>
      </c>
    </row>
    <row r="20" spans="1:10" x14ac:dyDescent="0.15">
      <c r="A20" t="s">
        <v>4196</v>
      </c>
      <c r="B20" t="s">
        <v>4147</v>
      </c>
      <c r="C20" t="s">
        <v>4152</v>
      </c>
      <c r="D20">
        <f t="shared" ca="1" si="0"/>
        <v>486</v>
      </c>
    </row>
    <row r="21" spans="1:10" x14ac:dyDescent="0.15">
      <c r="A21" t="s">
        <v>4197</v>
      </c>
      <c r="B21" t="s">
        <v>4158</v>
      </c>
      <c r="C21" t="s">
        <v>4152</v>
      </c>
      <c r="D21">
        <f t="shared" ca="1" si="0"/>
        <v>482</v>
      </c>
    </row>
    <row r="22" spans="1:10" x14ac:dyDescent="0.15">
      <c r="A22" t="s">
        <v>4198</v>
      </c>
      <c r="B22" t="s">
        <v>4159</v>
      </c>
      <c r="C22" t="s">
        <v>4152</v>
      </c>
      <c r="D22">
        <f t="shared" ca="1" si="0"/>
        <v>289</v>
      </c>
    </row>
    <row r="23" spans="1:10" x14ac:dyDescent="0.15">
      <c r="A23" t="s">
        <v>4199</v>
      </c>
      <c r="B23" t="s">
        <v>4160</v>
      </c>
      <c r="C23" t="s">
        <v>4152</v>
      </c>
      <c r="D23">
        <f t="shared" ca="1" si="0"/>
        <v>264</v>
      </c>
      <c r="I23" t="s">
        <v>4723</v>
      </c>
      <c r="J23" t="s">
        <v>4724</v>
      </c>
    </row>
    <row r="24" spans="1:10" x14ac:dyDescent="0.15">
      <c r="A24" t="s">
        <v>4200</v>
      </c>
      <c r="B24" t="s">
        <v>4161</v>
      </c>
      <c r="C24" t="s">
        <v>4152</v>
      </c>
      <c r="D24">
        <f t="shared" ca="1" si="0"/>
        <v>398</v>
      </c>
      <c r="I24" t="s">
        <v>4692</v>
      </c>
      <c r="J24" t="s">
        <v>4690</v>
      </c>
    </row>
    <row r="25" spans="1:10" x14ac:dyDescent="0.15">
      <c r="I25" t="s">
        <v>4695</v>
      </c>
      <c r="J25" t="s">
        <v>4690</v>
      </c>
    </row>
    <row r="26" spans="1:10" x14ac:dyDescent="0.15">
      <c r="I26" t="s">
        <v>4693</v>
      </c>
      <c r="J26" t="s">
        <v>4690</v>
      </c>
    </row>
    <row r="27" spans="1:10" x14ac:dyDescent="0.15">
      <c r="I27" t="s">
        <v>4694</v>
      </c>
      <c r="J27" t="s">
        <v>4691</v>
      </c>
    </row>
    <row r="28" spans="1:10" x14ac:dyDescent="0.15">
      <c r="I28" t="str">
        <f t="shared" ref="I28:I50" ca="1" si="1">insertinto(A2:D2,$I$24:$J$27,"location")</f>
        <v>insert into location values ('L01', 'Aruba', 'Tropical', 253);</v>
      </c>
    </row>
    <row r="29" spans="1:10" x14ac:dyDescent="0.15">
      <c r="I29" t="str">
        <f t="shared" ca="1" si="1"/>
        <v>insert into location values ('L02', 'Jamaica', 'Tropical', 331);</v>
      </c>
    </row>
    <row r="30" spans="1:10" x14ac:dyDescent="0.15">
      <c r="I30" t="str">
        <f t="shared" ca="1" si="1"/>
        <v>insert into location values ('L03', 'Bahama', 'Tropical', 341);</v>
      </c>
    </row>
    <row r="31" spans="1:10" x14ac:dyDescent="0.15">
      <c r="I31" t="str">
        <f t="shared" ca="1" si="1"/>
        <v>insert into location values ('L04', 'Bermuda', 'Tropical', 217);</v>
      </c>
    </row>
    <row r="32" spans="1:10" x14ac:dyDescent="0.15">
      <c r="I32" t="str">
        <f t="shared" ca="1" si="1"/>
        <v>insert into location values ('L05', 'Keylargo', 'Tropical', 473);</v>
      </c>
    </row>
    <row r="33" spans="9:9" x14ac:dyDescent="0.15">
      <c r="I33" t="str">
        <f t="shared" ca="1" si="1"/>
        <v>insert into location values ('L06', 'Montego', 'Tropical', 336);</v>
      </c>
    </row>
    <row r="34" spans="9:9" x14ac:dyDescent="0.15">
      <c r="I34" t="str">
        <f t="shared" ca="1" si="1"/>
        <v>insert into location values ('L07', 'Goa', 'Tropical', 416);</v>
      </c>
    </row>
    <row r="35" spans="9:9" x14ac:dyDescent="0.15">
      <c r="I35" t="str">
        <f t="shared" ca="1" si="1"/>
        <v>insert into location values ('L08', 'Vermont', 'Rural', 397);</v>
      </c>
    </row>
    <row r="36" spans="9:9" x14ac:dyDescent="0.15">
      <c r="I36" t="str">
        <f t="shared" ca="1" si="1"/>
        <v>insert into location values ('L09', 'Tuscany', 'Rural', 304);</v>
      </c>
    </row>
    <row r="37" spans="9:9" x14ac:dyDescent="0.15">
      <c r="I37" t="str">
        <f t="shared" ca="1" si="1"/>
        <v>insert into location values ('L10', 'Asturias', 'Rural', 414);</v>
      </c>
    </row>
    <row r="38" spans="9:9" x14ac:dyDescent="0.15">
      <c r="I38" t="str">
        <f t="shared" ca="1" si="1"/>
        <v>insert into location values ('L11', 'France Province', 'Rural', 347);</v>
      </c>
    </row>
    <row r="39" spans="9:9" x14ac:dyDescent="0.15">
      <c r="I39" t="str">
        <f t="shared" ca="1" si="1"/>
        <v>insert into location values ('L12', 'Rome', 'Urban', 491);</v>
      </c>
    </row>
    <row r="40" spans="9:9" x14ac:dyDescent="0.15">
      <c r="I40" t="str">
        <f t="shared" ca="1" si="1"/>
        <v>insert into location values ('L13', 'Paris', 'Urban', 434);</v>
      </c>
    </row>
    <row r="41" spans="9:9" x14ac:dyDescent="0.15">
      <c r="I41" t="str">
        <f t="shared" ca="1" si="1"/>
        <v>insert into location values ('L14', 'London', 'Urban', 365);</v>
      </c>
    </row>
    <row r="42" spans="9:9" x14ac:dyDescent="0.15">
      <c r="I42" t="str">
        <f t="shared" ca="1" si="1"/>
        <v>insert into location values ('L15', 'Berlin', 'Urban', 447);</v>
      </c>
    </row>
    <row r="43" spans="9:9" x14ac:dyDescent="0.15">
      <c r="I43" t="str">
        <f t="shared" ca="1" si="1"/>
        <v>insert into location values ('L16', 'Sydney', 'Urban', 410);</v>
      </c>
    </row>
    <row r="44" spans="9:9" x14ac:dyDescent="0.15">
      <c r="I44" t="str">
        <f t="shared" ca="1" si="1"/>
        <v>insert into location values ('L17', 'Belgrade', 'Urban', 400);</v>
      </c>
    </row>
    <row r="45" spans="9:9" x14ac:dyDescent="0.15">
      <c r="I45" t="str">
        <f t="shared" ca="1" si="1"/>
        <v>insert into location values ('L18', 'New York', 'Urban', 472);</v>
      </c>
    </row>
    <row r="46" spans="9:9" x14ac:dyDescent="0.15">
      <c r="I46" t="str">
        <f t="shared" ca="1" si="1"/>
        <v>insert into location values ('L19', 'Aspen', 'Mountain', 486);</v>
      </c>
    </row>
    <row r="47" spans="9:9" x14ac:dyDescent="0.15">
      <c r="I47" t="str">
        <f t="shared" ca="1" si="1"/>
        <v>insert into location values ('L20', 'Kopaonik', 'Mountain', 482);</v>
      </c>
    </row>
    <row r="48" spans="9:9" x14ac:dyDescent="0.15">
      <c r="I48" t="str">
        <f t="shared" ca="1" si="1"/>
        <v>insert into location values ('L21', 'Swiss Alps', 'Mountain', 289);</v>
      </c>
    </row>
    <row r="49" spans="9:9" x14ac:dyDescent="0.15">
      <c r="I49" t="str">
        <f t="shared" ca="1" si="1"/>
        <v>insert into location values ('L22', 'French Alps', 'Mountain', 264);</v>
      </c>
    </row>
    <row r="50" spans="9:9" x14ac:dyDescent="0.15">
      <c r="I50" t="str">
        <f t="shared" ca="1" si="1"/>
        <v>insert into location values ('L23', 'Kilimanjaro', 'Mountain', 398);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"/>
  <sheetViews>
    <sheetView zoomScale="130" zoomScaleNormal="130" zoomScalePageLayoutView="130" workbookViewId="0">
      <selection activeCell="B19" sqref="B19"/>
    </sheetView>
  </sheetViews>
  <sheetFormatPr baseColWidth="10" defaultRowHeight="13" x14ac:dyDescent="0.15"/>
  <cols>
    <col min="4" max="4" width="16" bestFit="1" customWidth="1"/>
  </cols>
  <sheetData>
    <row r="1" spans="1:5" x14ac:dyDescent="0.15">
      <c r="A1" t="s">
        <v>4104</v>
      </c>
      <c r="B1" t="s">
        <v>4124</v>
      </c>
      <c r="C1" t="s">
        <v>4121</v>
      </c>
    </row>
    <row r="2" spans="1:5" x14ac:dyDescent="0.15">
      <c r="A2" t="s">
        <v>4542</v>
      </c>
      <c r="B2" t="s">
        <v>4173</v>
      </c>
      <c r="C2">
        <v>0</v>
      </c>
    </row>
    <row r="3" spans="1:5" x14ac:dyDescent="0.15">
      <c r="A3" t="s">
        <v>4541</v>
      </c>
      <c r="B3" t="s">
        <v>4170</v>
      </c>
      <c r="C3">
        <f t="shared" ref="C3:C8" ca="1" si="0">r_integer(70,300)</f>
        <v>265</v>
      </c>
    </row>
    <row r="4" spans="1:5" x14ac:dyDescent="0.15">
      <c r="A4" t="s">
        <v>4543</v>
      </c>
      <c r="B4" t="s">
        <v>4171</v>
      </c>
      <c r="C4">
        <f t="shared" ca="1" si="0"/>
        <v>268</v>
      </c>
    </row>
    <row r="5" spans="1:5" x14ac:dyDescent="0.15">
      <c r="A5" t="s">
        <v>4544</v>
      </c>
      <c r="B5" t="s">
        <v>4172</v>
      </c>
      <c r="C5">
        <f t="shared" ca="1" si="0"/>
        <v>225</v>
      </c>
    </row>
    <row r="6" spans="1:5" x14ac:dyDescent="0.15">
      <c r="A6" t="s">
        <v>4545</v>
      </c>
      <c r="B6" t="s">
        <v>4169</v>
      </c>
      <c r="C6">
        <f t="shared" ca="1" si="0"/>
        <v>270</v>
      </c>
    </row>
    <row r="7" spans="1:5" x14ac:dyDescent="0.15">
      <c r="A7" t="s">
        <v>4546</v>
      </c>
      <c r="B7" t="s">
        <v>4174</v>
      </c>
      <c r="C7">
        <f t="shared" ca="1" si="0"/>
        <v>261</v>
      </c>
    </row>
    <row r="8" spans="1:5" x14ac:dyDescent="0.15">
      <c r="A8" t="s">
        <v>4547</v>
      </c>
      <c r="B8" t="s">
        <v>4175</v>
      </c>
      <c r="C8">
        <f t="shared" ca="1" si="0"/>
        <v>295</v>
      </c>
    </row>
    <row r="13" spans="1:5" x14ac:dyDescent="0.15">
      <c r="D13" t="s">
        <v>4723</v>
      </c>
      <c r="E13" t="s">
        <v>4724</v>
      </c>
    </row>
    <row r="14" spans="1:5" x14ac:dyDescent="0.15">
      <c r="D14" t="s">
        <v>4719</v>
      </c>
      <c r="E14" t="s">
        <v>4681</v>
      </c>
    </row>
    <row r="15" spans="1:5" x14ac:dyDescent="0.15">
      <c r="D15" t="s">
        <v>4720</v>
      </c>
      <c r="E15" t="s">
        <v>4690</v>
      </c>
    </row>
    <row r="16" spans="1:5" x14ac:dyDescent="0.15">
      <c r="D16" t="s">
        <v>4721</v>
      </c>
      <c r="E16" t="s">
        <v>4691</v>
      </c>
    </row>
    <row r="17" spans="4:4" x14ac:dyDescent="0.15">
      <c r="D17" t="str">
        <f t="shared" ref="D17:D23" si="1">insertinto(A2:C2,$D$14:$E$16,"arrangement")</f>
        <v>insert into arrangement values ('AC01', 'None', 0);</v>
      </c>
    </row>
    <row r="18" spans="4:4" x14ac:dyDescent="0.15">
      <c r="D18" t="str">
        <f t="shared" ca="1" si="1"/>
        <v>insert into arrangement values ('AC02', 'Motel', 265);</v>
      </c>
    </row>
    <row r="19" spans="4:4" x14ac:dyDescent="0.15">
      <c r="D19" t="str">
        <f t="shared" ca="1" si="1"/>
        <v>insert into arrangement values ('AC03', 'Holdiay Inn', 268);</v>
      </c>
    </row>
    <row r="20" spans="4:4" x14ac:dyDescent="0.15">
      <c r="D20" t="str">
        <f t="shared" ca="1" si="1"/>
        <v>insert into arrangement values ('AC04', 'Homestay', 225);</v>
      </c>
    </row>
    <row r="21" spans="4:4" x14ac:dyDescent="0.15">
      <c r="D21" t="str">
        <f t="shared" ca="1" si="1"/>
        <v>insert into arrangement values ('AC05', 'Hotel', 270);</v>
      </c>
    </row>
    <row r="22" spans="4:4" x14ac:dyDescent="0.15">
      <c r="D22" t="str">
        <f t="shared" ca="1" si="1"/>
        <v>insert into arrangement values ('AC06', 'Spa', 261);</v>
      </c>
    </row>
    <row r="23" spans="4:4" x14ac:dyDescent="0.15">
      <c r="D23" t="str">
        <f t="shared" ca="1" si="1"/>
        <v>insert into arrangement values ('AC07', 'Resort', 295);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RESERVATIONS</vt:lpstr>
      <vt:lpstr>PACKET</vt:lpstr>
      <vt:lpstr>GUIDE</vt:lpstr>
      <vt:lpstr>CUSTOMER</vt:lpstr>
      <vt:lpstr>MEMBERSHIP</vt:lpstr>
      <vt:lpstr>EXCURSION</vt:lpstr>
      <vt:lpstr>TRANSPORT</vt:lpstr>
      <vt:lpstr>LOCATION</vt:lpstr>
      <vt:lpstr>ARRANGEMENT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Stefan Grulović</cp:lastModifiedBy>
  <dcterms:created xsi:type="dcterms:W3CDTF">2013-02-25T22:34:06Z</dcterms:created>
  <dcterms:modified xsi:type="dcterms:W3CDTF">2016-12-09T19:32:39Z</dcterms:modified>
</cp:coreProperties>
</file>